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2" autoFilterDateGrouping="1"/>
  </bookViews>
  <sheets>
    <sheet name="RAG Legend" sheetId="1" state="visible" r:id="rId1"/>
    <sheet name="Meta Data" sheetId="2" state="visible" r:id="rId2"/>
    <sheet name="Balance Sheet" sheetId="3" state="visible" r:id="rId3"/>
    <sheet name="P&amp;L" sheetId="4" state="visible" r:id="rId4"/>
    <sheet name="Cash Flow" sheetId="5" state="visible" r:id="rId5"/>
    <sheet name="Raw BS" sheetId="6" state="visible" r:id="rId6"/>
    <sheet name="Raw P&amp;L" sheetId="7" state="visible" r:id="rId7"/>
    <sheet name="Raw CF" sheetId="8" state="visible" r:id="rId8"/>
    <sheet name="RAG Details" sheetId="9" state="visible" r:id="rId9"/>
  </sheets>
  <definedNames>
    <definedName name="_xlnm._FilterDatabase" localSheetId="5" hidden="1">'Raw BS'!$A$1:$I$108</definedName>
    <definedName name="_xlnm._FilterDatabase" localSheetId="6" hidden="1">'Raw P&amp;L'!$A$1:$I$56</definedName>
    <definedName name="_xlnm._FilterDatabase" localSheetId="7" hidden="1">'Raw CF'!$A$1:$I$77</definedName>
  </definedNames>
  <calcPr calcId="191028" fullCalcOnLoad="1"/>
</workbook>
</file>

<file path=xl/styles.xml><?xml version="1.0" encoding="utf-8"?>
<styleSheet xmlns="http://schemas.openxmlformats.org/spreadsheetml/2006/main">
  <numFmts count="0"/>
  <fonts count="26">
    <font>
      <name val="Aptos Narrow"/>
      <family val="2"/>
      <color theme="1"/>
      <sz val="11"/>
      <scheme val="minor"/>
    </font>
    <font>
      <name val="Aptos Narrow"/>
      <family val="2"/>
      <b val="1"/>
      <color theme="1"/>
      <sz val="11"/>
      <scheme val="minor"/>
    </font>
    <font>
      <name val="Aptos Narrow"/>
      <family val="2"/>
      <b val="1"/>
      <color theme="1"/>
      <sz val="9"/>
      <scheme val="minor"/>
    </font>
    <font>
      <name val="Aptos Narrow"/>
      <family val="2"/>
      <color theme="1"/>
      <sz val="9"/>
      <scheme val="minor"/>
    </font>
    <font>
      <name val="Aptos Narrow"/>
      <family val="2"/>
      <b val="1"/>
      <i val="1"/>
      <color theme="1"/>
      <sz val="9"/>
      <scheme val="minor"/>
    </font>
    <font>
      <name val="Calibri"/>
      <b val="1"/>
      <color rgb="00FFFFFF"/>
      <sz val="10"/>
    </font>
    <font>
      <name val="Calibri"/>
      <sz val="10"/>
    </font>
    <font>
      <name val="Calibri"/>
      <color rgb="009CA3AF"/>
      <sz val="9"/>
    </font>
    <font>
      <name val="Calibri"/>
      <b val="1"/>
      <color rgb="00374151"/>
      <sz val="10"/>
    </font>
    <font>
      <name val="Calibri"/>
      <color rgb="006B7280"/>
      <sz val="10"/>
    </font>
    <font>
      <name val="Calibri"/>
      <b val="1"/>
      <color rgb="0092400E"/>
      <sz val="10"/>
    </font>
    <font>
      <name val="Calibri"/>
      <b val="1"/>
      <color rgb="006B7280"/>
      <sz val="9"/>
    </font>
    <font>
      <name val="Calibri"/>
      <color rgb="006B7280"/>
      <sz val="9"/>
    </font>
    <font>
      <name val="Calibri"/>
      <b val="1"/>
      <color rgb="001E3A5F"/>
      <sz val="14"/>
    </font>
    <font>
      <name val="Calibri"/>
      <b val="1"/>
      <color rgb="00FFFFFF"/>
      <sz val="12"/>
    </font>
    <font>
      <name val="Calibri"/>
      <b val="1"/>
      <color rgb="00475569"/>
      <sz val="11"/>
    </font>
    <font>
      <name val="Calibri"/>
      <color rgb="001E293B"/>
      <sz val="11"/>
    </font>
    <font>
      <name val="Calibri"/>
      <b val="1"/>
      <color rgb="002563EB"/>
      <sz val="11"/>
    </font>
    <font>
      <name val="Calibri"/>
      <b val="1"/>
      <color rgb="00059669"/>
      <sz val="11"/>
    </font>
    <font>
      <name val="Calibri"/>
      <b val="1"/>
      <color rgb="00475569"/>
      <sz val="10"/>
    </font>
    <font>
      <name val="Calibri"/>
      <color rgb="002563EB"/>
      <sz val="9"/>
    </font>
    <font>
      <b val="1"/>
      <color rgb="00CC0000"/>
    </font>
    <font>
      <b val="1"/>
      <color rgb="001F4E79"/>
      <sz val="16"/>
    </font>
    <font>
      <b val="1"/>
      <sz val="12"/>
    </font>
    <font>
      <b val="1"/>
      <color rgb="00CC0000"/>
      <sz val="12"/>
    </font>
    <font>
      <b val="1"/>
      <color rgb="00FFFFFF"/>
      <sz val="11"/>
    </font>
  </fonts>
  <fills count="14">
    <fill>
      <patternFill/>
    </fill>
    <fill>
      <patternFill patternType="gray125"/>
    </fill>
    <fill>
      <patternFill patternType="solid">
        <fgColor theme="7" tint="0.7999816888943144"/>
        <bgColor indexed="64"/>
      </patternFill>
    </fill>
    <fill>
      <patternFill patternType="solid">
        <fgColor theme="3" tint="0.8999908444471572"/>
        <bgColor indexed="64"/>
      </patternFill>
    </fill>
    <fill>
      <patternFill patternType="solid">
        <fgColor rgb="004A5568"/>
        <bgColor rgb="004A5568"/>
      </patternFill>
    </fill>
    <fill>
      <patternFill patternType="solid">
        <fgColor rgb="00F3F4F6"/>
        <bgColor rgb="00F3F4F6"/>
      </patternFill>
    </fill>
    <fill>
      <patternFill patternType="solid">
        <fgColor rgb="00FEF3C7"/>
        <bgColor rgb="00FEF3C7"/>
      </patternFill>
    </fill>
    <fill>
      <patternFill patternType="solid">
        <fgColor rgb="001E3A5F"/>
        <bgColor rgb="001E3A5F"/>
      </patternFill>
    </fill>
    <fill>
      <patternFill patternType="solid">
        <fgColor rgb="00FFFF00"/>
        <bgColor rgb="00FFFF00"/>
      </patternFill>
    </fill>
    <fill>
      <patternFill patternType="solid">
        <fgColor rgb="00DCE6F1"/>
        <bgColor rgb="00DCE6F1"/>
      </patternFill>
    </fill>
    <fill>
      <patternFill patternType="solid">
        <fgColor rgb="0092D050"/>
        <bgColor rgb="0092D050"/>
      </patternFill>
    </fill>
    <fill>
      <patternFill patternType="solid">
        <fgColor rgb="00FFF2CC"/>
        <bgColor rgb="00FFF2CC"/>
      </patternFill>
    </fill>
    <fill>
      <patternFill patternType="solid">
        <fgColor rgb="00E2EFDA"/>
        <bgColor rgb="00E2EFDA"/>
      </patternFill>
    </fill>
    <fill>
      <patternFill patternType="solid">
        <fgColor rgb="004472C4"/>
        <bgColor rgb="004472C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rgb="00D1D5DB"/>
      </left>
      <right style="thin">
        <color rgb="00D1D5DB"/>
      </right>
      <top style="thin">
        <color rgb="00D1D5DB"/>
      </top>
      <bottom style="thin">
        <color rgb="00D1D5DB"/>
      </bottom>
    </border>
    <border>
      <left style="thin">
        <color rgb="00E2E8F0"/>
      </left>
      <right style="thin">
        <color rgb="00E2E8F0"/>
      </right>
      <top style="thin">
        <color rgb="00E2E8F0"/>
      </top>
      <bottom style="thin">
        <color rgb="00E2E8F0"/>
      </bottom>
    </border>
  </borders>
  <cellStyleXfs count="1">
    <xf numFmtId="0" fontId="0" fillId="0" borderId="0"/>
  </cellStyleXfs>
  <cellXfs count="71">
    <xf numFmtId="0" fontId="0" fillId="0" borderId="0" pivotButton="0" quotePrefix="0" xfId="0"/>
    <xf numFmtId="0" fontId="2" fillId="0" borderId="1" applyAlignment="1" pivotButton="0" quotePrefix="0" xfId="0">
      <alignment wrapText="1"/>
    </xf>
    <xf numFmtId="0" fontId="3" fillId="0" borderId="1" applyAlignment="1" pivotButton="0" quotePrefix="0" xfId="0">
      <alignment wrapText="1"/>
    </xf>
    <xf numFmtId="0" fontId="2" fillId="2" borderId="1" applyAlignment="1" pivotButton="0" quotePrefix="0" xfId="0">
      <alignment wrapText="1"/>
    </xf>
    <xf numFmtId="0" fontId="4" fillId="0" borderId="1" applyAlignment="1" pivotButton="0" quotePrefix="0" xfId="0">
      <alignment wrapText="1"/>
    </xf>
    <xf numFmtId="0" fontId="3" fillId="0" borderId="4" pivotButton="0" quotePrefix="0" xfId="0"/>
    <xf numFmtId="0" fontId="3" fillId="0" borderId="1" pivotButton="0" quotePrefix="0" xfId="0"/>
    <xf numFmtId="0" fontId="2" fillId="2" borderId="1" pivotButton="0" quotePrefix="0" xfId="0"/>
    <xf numFmtId="0" fontId="3" fillId="2" borderId="1" applyAlignment="1" pivotButton="0" quotePrefix="0" xfId="0">
      <alignment wrapText="1"/>
    </xf>
    <xf numFmtId="0" fontId="3" fillId="0" borderId="1" applyAlignment="1" pivotButton="0" quotePrefix="0" xfId="0">
      <alignment vertical="top" wrapText="1"/>
    </xf>
    <xf numFmtId="0" fontId="2" fillId="2" borderId="1" applyAlignment="1" pivotButton="0" quotePrefix="0" xfId="0">
      <alignment vertical="top" wrapText="1"/>
    </xf>
    <xf numFmtId="0" fontId="0" fillId="0" borderId="1" pivotButton="0" quotePrefix="0" xfId="0"/>
    <xf numFmtId="0" fontId="2" fillId="3" borderId="1" applyAlignment="1" pivotButton="0" quotePrefix="0" xfId="0">
      <alignment horizontal="center" wrapText="1"/>
    </xf>
    <xf numFmtId="0" fontId="1" fillId="0" borderId="1" applyAlignment="1" pivotButton="0" quotePrefix="0" xfId="0">
      <alignment horizontal="center" vertical="center" textRotation="90"/>
    </xf>
    <xf numFmtId="0" fontId="2" fillId="0" borderId="1" applyAlignment="1" pivotButton="0" quotePrefix="0" xfId="0">
      <alignment horizontal="center" vertical="center" textRotation="90" wrapText="1"/>
    </xf>
    <xf numFmtId="0" fontId="1" fillId="0" borderId="2" applyAlignment="1" pivotButton="0" quotePrefix="0" xfId="0">
      <alignment horizontal="center" vertical="center" textRotation="90"/>
    </xf>
    <xf numFmtId="0" fontId="1" fillId="0" borderId="3" applyAlignment="1" pivotButton="0" quotePrefix="0" xfId="0">
      <alignment horizontal="center" vertical="center" textRotation="90"/>
    </xf>
    <xf numFmtId="0" fontId="1" fillId="0" borderId="4" applyAlignment="1" pivotButton="0" quotePrefix="0" xfId="0">
      <alignment horizontal="center" vertical="center" textRotation="90"/>
    </xf>
    <xf numFmtId="0" fontId="1" fillId="0" borderId="4" applyAlignment="1" pivotButton="0" quotePrefix="0" xfId="0">
      <alignment horizontal="center" vertical="center" textRotation="90" wrapText="1"/>
    </xf>
    <xf numFmtId="0" fontId="1" fillId="0" borderId="1" applyAlignment="1" pivotButton="0" quotePrefix="0" xfId="0">
      <alignment horizontal="center" vertical="center" textRotation="90" wrapText="1"/>
    </xf>
    <xf numFmtId="0" fontId="2" fillId="0" borderId="5" applyAlignment="1" pivotButton="0" quotePrefix="0" xfId="0">
      <alignment vertical="center" wrapText="1"/>
    </xf>
    <xf numFmtId="0" fontId="3" fillId="0" borderId="5" applyAlignment="1" pivotButton="0" quotePrefix="0" xfId="0">
      <alignment wrapText="1"/>
    </xf>
    <xf numFmtId="0" fontId="2" fillId="2" borderId="5" applyAlignment="1" pivotButton="0" quotePrefix="0" xfId="0">
      <alignment wrapText="1"/>
    </xf>
    <xf numFmtId="0" fontId="0" fillId="0" borderId="5" pivotButton="0" quotePrefix="0" xfId="0"/>
    <xf numFmtId="0" fontId="1" fillId="0" borderId="6" applyAlignment="1" pivotButton="0" quotePrefix="0" xfId="0">
      <alignment horizontal="center"/>
    </xf>
    <xf numFmtId="0" fontId="1" fillId="0" borderId="7" applyAlignment="1" pivotButton="0" quotePrefix="0" xfId="0">
      <alignment horizontal="center"/>
    </xf>
    <xf numFmtId="0" fontId="1" fillId="0" borderId="8" applyAlignment="1" pivotButton="0" quotePrefix="0" xfId="0">
      <alignment horizontal="center"/>
    </xf>
    <xf numFmtId="0" fontId="1" fillId="0" borderId="0" pivotButton="0" quotePrefix="0" xfId="0"/>
    <xf numFmtId="4" fontId="0" fillId="0" borderId="0" pivotButton="0" quotePrefix="0" xfId="0"/>
    <xf numFmtId="0" fontId="0" fillId="0" borderId="3" pivotButton="0" quotePrefix="0" xfId="0"/>
    <xf numFmtId="0" fontId="0" fillId="0" borderId="4" pivotButton="0" quotePrefix="0" xfId="0"/>
    <xf numFmtId="0" fontId="1" fillId="0" borderId="10" applyAlignment="1" pivotButton="0" quotePrefix="0" xfId="0">
      <alignment horizontal="center"/>
    </xf>
    <xf numFmtId="0" fontId="0" fillId="0" borderId="7" pivotButton="0" quotePrefix="0" xfId="0"/>
    <xf numFmtId="0" fontId="0" fillId="0" borderId="8" pivotButton="0" quotePrefix="0" xfId="0"/>
    <xf numFmtId="0" fontId="5" fillId="4" borderId="12" applyAlignment="1" pivotButton="0" quotePrefix="0" xfId="0">
      <alignment horizontal="center" vertical="center" wrapText="1"/>
    </xf>
    <xf numFmtId="0" fontId="0" fillId="0" borderId="12" pivotButton="0" quotePrefix="0" xfId="0"/>
    <xf numFmtId="0" fontId="6" fillId="0" borderId="12" applyAlignment="1" pivotButton="0" quotePrefix="0" xfId="0">
      <alignment horizontal="left" vertical="center"/>
    </xf>
    <xf numFmtId="0" fontId="6" fillId="0" borderId="12" applyAlignment="1" pivotButton="0" quotePrefix="0" xfId="0">
      <alignment horizontal="right" vertical="center"/>
    </xf>
    <xf numFmtId="0" fontId="7" fillId="0" borderId="12" pivotButton="0" quotePrefix="0" xfId="0"/>
    <xf numFmtId="0" fontId="0" fillId="5" borderId="12" pivotButton="0" quotePrefix="0" xfId="0"/>
    <xf numFmtId="0" fontId="8" fillId="5" borderId="12" applyAlignment="1" pivotButton="0" quotePrefix="0" xfId="0">
      <alignment horizontal="left" vertical="center"/>
    </xf>
    <xf numFmtId="0" fontId="6" fillId="5" borderId="12" applyAlignment="1" pivotButton="0" quotePrefix="0" xfId="0">
      <alignment horizontal="right" vertical="center"/>
    </xf>
    <xf numFmtId="0" fontId="7" fillId="5" borderId="12" pivotButton="0" quotePrefix="0" xfId="0"/>
    <xf numFmtId="0" fontId="9" fillId="0" borderId="12" applyAlignment="1" pivotButton="0" quotePrefix="0" xfId="0">
      <alignment horizontal="left" vertical="center"/>
    </xf>
    <xf numFmtId="0" fontId="0" fillId="6" borderId="12" pivotButton="0" quotePrefix="0" xfId="0"/>
    <xf numFmtId="0" fontId="10" fillId="6" borderId="12" applyAlignment="1" pivotButton="0" quotePrefix="0" xfId="0">
      <alignment horizontal="left" vertical="center"/>
    </xf>
    <xf numFmtId="0" fontId="6" fillId="6" borderId="12" applyAlignment="1" pivotButton="0" quotePrefix="0" xfId="0">
      <alignment horizontal="right" vertical="center"/>
    </xf>
    <xf numFmtId="0" fontId="7" fillId="6" borderId="12" pivotButton="0" quotePrefix="0" xfId="0"/>
    <xf numFmtId="0" fontId="11" fillId="0" borderId="0" pivotButton="0" quotePrefix="0" xfId="0"/>
    <xf numFmtId="0" fontId="12" fillId="0" borderId="0" pivotButton="0" quotePrefix="0" xfId="0"/>
    <xf numFmtId="0" fontId="13" fillId="0" borderId="0" pivotButton="0" quotePrefix="0" xfId="0"/>
    <xf numFmtId="0" fontId="14" fillId="7" borderId="13" applyAlignment="1" pivotButton="0" quotePrefix="0" xfId="0">
      <alignment horizontal="left" vertical="center"/>
    </xf>
    <xf numFmtId="0" fontId="0" fillId="7" borderId="13" pivotButton="0" quotePrefix="0" xfId="0"/>
    <xf numFmtId="0" fontId="15" fillId="0" borderId="13" applyAlignment="1" pivotButton="0" quotePrefix="0" xfId="0">
      <alignment horizontal="left" vertical="center" indent="1"/>
    </xf>
    <xf numFmtId="0" fontId="16" fillId="0" borderId="13" applyAlignment="1" pivotButton="0" quotePrefix="0" xfId="0">
      <alignment horizontal="left" vertical="center"/>
    </xf>
    <xf numFmtId="0" fontId="17" fillId="0" borderId="13" applyAlignment="1" pivotButton="0" quotePrefix="0" xfId="0">
      <alignment horizontal="left" vertical="center"/>
    </xf>
    <xf numFmtId="0" fontId="18" fillId="0" borderId="13" applyAlignment="1" pivotButton="0" quotePrefix="0" xfId="0">
      <alignment horizontal="left" vertical="center"/>
    </xf>
    <xf numFmtId="0" fontId="19" fillId="0" borderId="0" pivotButton="0" quotePrefix="0" xfId="0"/>
    <xf numFmtId="0" fontId="20" fillId="0" borderId="0" pivotButton="0" quotePrefix="0" xfId="0"/>
    <xf numFmtId="0" fontId="22" fillId="0" borderId="0" pivotButton="0" quotePrefix="0" xfId="0"/>
    <xf numFmtId="0" fontId="23" fillId="0" borderId="0" pivotButton="0" quotePrefix="0" xfId="0"/>
    <xf numFmtId="0" fontId="0" fillId="8" borderId="0" pivotButton="0" quotePrefix="0" xfId="0"/>
    <xf numFmtId="0" fontId="0" fillId="10" borderId="0" pivotButton="0" quotePrefix="0" xfId="0"/>
    <xf numFmtId="0" fontId="0" fillId="9" borderId="0" pivotButton="0" quotePrefix="0" xfId="0"/>
    <xf numFmtId="0" fontId="21" fillId="0" borderId="0" pivotButton="0" quotePrefix="0" xfId="0"/>
    <xf numFmtId="0" fontId="24" fillId="0" borderId="0" pivotButton="0" quotePrefix="0" xfId="0"/>
    <xf numFmtId="0" fontId="0" fillId="11" borderId="0" pivotButton="0" quotePrefix="0" xfId="0"/>
    <xf numFmtId="0" fontId="0" fillId="12" borderId="0" pivotButton="0" quotePrefix="0" xfId="0"/>
    <xf numFmtId="4" fontId="21" fillId="8" borderId="0" pivotButton="0" quotePrefix="0" xfId="0"/>
    <xf numFmtId="4" fontId="0" fillId="9" borderId="0" pivotButton="0" quotePrefix="0" xfId="0"/>
    <xf numFmtId="0" fontId="25" fillId="1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55" customWidth="1" min="1" max="1"/>
    <col width="80" customWidth="1" min="2" max="2"/>
  </cols>
  <sheetData>
    <row r="1">
      <c r="A1" s="59" t="inlineStr">
        <is>
          <t>CA RAG Agent — Validation Report</t>
        </is>
      </c>
    </row>
    <row r="3">
      <c r="A3" s="60" t="inlineStr">
        <is>
          <t>Color Legend:</t>
        </is>
      </c>
    </row>
    <row r="4">
      <c r="A4" s="61" t="n"/>
      <c r="B4" t="inlineStr">
        <is>
          <t>YELLOW — RAG CHANGED a value (original was different)</t>
        </is>
      </c>
    </row>
    <row r="5">
      <c r="A5" s="62" t="n"/>
      <c r="B5" t="inlineStr">
        <is>
          <t>GREEN — RAG FILLED an empty cell (new data from RAG)</t>
        </is>
      </c>
    </row>
    <row r="6">
      <c r="A6" s="63" t="n"/>
      <c r="B6" t="inlineStr">
        <is>
          <t>LIGHT BLUE — RAG VERIFIED value matches (no change needed)</t>
        </is>
      </c>
    </row>
    <row r="8">
      <c r="A8" s="60" t="inlineStr">
        <is>
          <t>Validation Summary:</t>
        </is>
      </c>
    </row>
    <row r="9">
      <c r="A9" s="64" t="inlineStr">
        <is>
          <t>Values changed by RAG: 8</t>
        </is>
      </c>
    </row>
    <row r="10">
      <c r="A10" t="inlineStr">
        <is>
          <t>Empty cells filled by RAG: 0</t>
        </is>
      </c>
    </row>
    <row r="11">
      <c r="A11" t="inlineStr">
        <is>
          <t>Values verified (match): 8</t>
        </is>
      </c>
    </row>
    <row r="12">
      <c r="A12" t="inlineStr">
        <is>
          <t>Values not found by RAG: 54</t>
        </is>
      </c>
    </row>
    <row r="13">
      <c r="A13" t="inlineStr">
        <is>
          <t>Skipped (formula items): 5</t>
        </is>
      </c>
    </row>
    <row r="15">
      <c r="A15" s="60" t="inlineStr">
        <is>
          <t>Key Insight:</t>
        </is>
      </c>
    </row>
    <row r="16">
      <c r="A16" t="inlineStr">
        <is>
          <t>RAG improved the extraction: 8 values corrected, 0 empty cells filled, 8 values confirmed.</t>
        </is>
      </c>
    </row>
    <row r="18">
      <c r="A18" s="65" t="inlineStr">
        <is>
          <t>STANDALONE-ONLY POLICY:</t>
        </is>
      </c>
    </row>
    <row r="19">
      <c r="A19" t="inlineStr">
        <is>
          <t>This validation uses ONLY Standalone financial statements. Consolidated statement pages are excluded at TWO levels:</t>
        </is>
      </c>
    </row>
    <row r="20">
      <c r="A20" t="inlineStr">
        <is>
          <t xml:space="preserve">  1. RETRIEVAL LEVEL: Vector store search filters out pages tagged as 'consolidated' (detected via title-area regex at PDF parse time).</t>
        </is>
      </c>
    </row>
    <row r="21">
      <c r="A21" t="inlineStr">
        <is>
          <t xml:space="preserve">  2. LLM PROMPT LEVEL: The CA RAG prompt explicitly instructs the LLM to NEVER use values from Consolidated statements, even if they appear in context.</t>
        </is>
      </c>
    </row>
    <row r="22">
      <c r="A22" t="inlineStr">
        <is>
          <t>If only consolidated data is available for an item, RAG returns 'NOT FOUND' — consolidated data is NEVER used as fallback.</t>
        </is>
      </c>
    </row>
    <row r="24">
      <c r="A24" s="60" t="inlineStr">
        <is>
          <t>Per-Statement Breakdown:</t>
        </is>
      </c>
    </row>
    <row r="25">
      <c r="A25" t="inlineStr">
        <is>
          <t xml:space="preserve">  Balance Sheet: 3 verified, 5 changed, 0 filled, 29 not found, 5 skipped</t>
        </is>
      </c>
    </row>
    <row r="26">
      <c r="A26" t="inlineStr">
        <is>
          <t xml:space="preserve">  Profit &amp; Loss: 5 verified, 2 changed, 0 filled, 4 not found, 0 skipped</t>
        </is>
      </c>
    </row>
    <row r="27">
      <c r="A27" t="inlineStr">
        <is>
          <t xml:space="preserve">  Cash Flow: 0 verified, 1 changed, 0 filled, 21 not found, 0 skipped</t>
        </is>
      </c>
    </row>
    <row r="29">
      <c r="A29" s="60" t="inlineStr">
        <is>
          <t>How a CA determines each value:</t>
        </is>
      </c>
    </row>
    <row r="30">
      <c r="A30" s="63" t="n"/>
      <c r="B30" t="inlineStr">
        <is>
          <t>DIRECT — Value explicitly stated in the financial statement</t>
        </is>
      </c>
    </row>
    <row r="31">
      <c r="A31" s="66" t="n"/>
      <c r="B31" t="inlineStr">
        <is>
          <t>CALCULATED — Sum of sub-items (e.g., Financial Assets = Investments + Trade Receivables + Loans + Others)</t>
        </is>
      </c>
    </row>
    <row r="32">
      <c r="A32" s="67" t="n"/>
      <c r="B32" t="inlineStr">
        <is>
          <t>INFERRED — Derived from accounting equations (e.g., BS: Assets = Equity + Liabilities)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5" customWidth="1" min="1" max="1"/>
    <col width="50" customWidth="1" min="2" max="2"/>
  </cols>
  <sheetData>
    <row r="1">
      <c r="A1" s="50" t="inlineStr">
        <is>
          <t>EWS Extraction — Meta Data</t>
        </is>
      </c>
    </row>
    <row r="2">
      <c r="A2" s="51" t="inlineStr">
        <is>
          <t>General Information</t>
        </is>
      </c>
      <c r="B2" s="52" t="inlineStr"/>
    </row>
    <row r="3">
      <c r="A3" s="53" t="inlineStr">
        <is>
          <t>PDF Filename</t>
        </is>
      </c>
      <c r="B3" s="54" t="inlineStr">
        <is>
          <t>REL_AnnualReport2017-18.pdf</t>
        </is>
      </c>
    </row>
    <row r="4">
      <c r="A4" s="53" t="inlineStr">
        <is>
          <t>Financial Year</t>
        </is>
      </c>
      <c r="B4" s="54" t="inlineStr">
        <is>
          <t>2018</t>
        </is>
      </c>
    </row>
    <row r="5">
      <c r="A5" s="53" t="inlineStr">
        <is>
          <t>Value Unit</t>
        </is>
      </c>
      <c r="B5" s="55" t="inlineStr">
        <is>
          <t>₹ in Lakhs</t>
        </is>
      </c>
    </row>
    <row r="6">
      <c r="A6" s="53" t="inlineStr">
        <is>
          <t>Statement Type</t>
        </is>
      </c>
      <c r="B6" s="54" t="inlineStr">
        <is>
          <t>Standalone</t>
        </is>
      </c>
    </row>
    <row r="7">
      <c r="A7" s="53" t="inlineStr">
        <is>
          <t>Extraction Timestamp</t>
        </is>
      </c>
      <c r="B7" s="54" t="inlineStr">
        <is>
          <t>2026-06-30 08:02:08</t>
        </is>
      </c>
    </row>
    <row r="9">
      <c r="A9" s="51" t="inlineStr">
        <is>
          <t>Page Detection</t>
        </is>
      </c>
      <c r="B9" s="52" t="inlineStr"/>
    </row>
    <row r="10">
      <c r="A10" s="53" t="inlineStr">
        <is>
          <t>Balance Sheet Pages</t>
        </is>
      </c>
      <c r="B10" s="54" t="inlineStr">
        <is>
          <t>47, 48, 52, 61, 86</t>
        </is>
      </c>
    </row>
    <row r="11">
      <c r="A11" s="53" t="inlineStr">
        <is>
          <t>P&amp;L Pages</t>
        </is>
      </c>
      <c r="B11" s="54" t="inlineStr">
        <is>
          <t>48, 53</t>
        </is>
      </c>
    </row>
    <row r="12">
      <c r="A12" s="53" t="inlineStr">
        <is>
          <t>Cash Flow Pages</t>
        </is>
      </c>
      <c r="B12" s="54" t="inlineStr">
        <is>
          <t>47, 54</t>
        </is>
      </c>
    </row>
    <row r="14">
      <c r="A14" s="51" t="inlineStr">
        <is>
          <t>Extraction Statistics</t>
        </is>
      </c>
      <c r="B14" s="52" t="inlineStr"/>
    </row>
    <row r="15">
      <c r="A15" s="53" t="inlineStr">
        <is>
          <t>Balance Sheet — Rows Extracted</t>
        </is>
      </c>
      <c r="B15" s="54" t="inlineStr">
        <is>
          <t>107</t>
        </is>
      </c>
    </row>
    <row r="16">
      <c r="A16" s="53" t="inlineStr">
        <is>
          <t>Balance Sheet — Items Mapped</t>
        </is>
      </c>
      <c r="B16" s="54" t="inlineStr">
        <is>
          <t>18</t>
        </is>
      </c>
    </row>
    <row r="17">
      <c r="A17" s="53" t="inlineStr">
        <is>
          <t>Balance Sheet — Values Written</t>
        </is>
      </c>
      <c r="B17" s="54" t="inlineStr">
        <is>
          <t>18</t>
        </is>
      </c>
    </row>
    <row r="18">
      <c r="A18" s="53" t="inlineStr">
        <is>
          <t>P&amp;L — Rows Extracted</t>
        </is>
      </c>
      <c r="B18" s="54" t="inlineStr">
        <is>
          <t>55</t>
        </is>
      </c>
    </row>
    <row r="19">
      <c r="A19" s="53" t="inlineStr">
        <is>
          <t>P&amp;L — Items Mapped</t>
        </is>
      </c>
      <c r="B19" s="54" t="inlineStr">
        <is>
          <t>11</t>
        </is>
      </c>
    </row>
    <row r="20">
      <c r="A20" s="53" t="inlineStr">
        <is>
          <t>P&amp;L — Values Written</t>
        </is>
      </c>
      <c r="B20" s="54" t="inlineStr">
        <is>
          <t>11</t>
        </is>
      </c>
    </row>
    <row r="21">
      <c r="A21" s="53" t="inlineStr">
        <is>
          <t>Cash Flow — Rows Extracted</t>
        </is>
      </c>
      <c r="B21" s="54" t="inlineStr">
        <is>
          <t>76</t>
        </is>
      </c>
    </row>
    <row r="22">
      <c r="A22" s="53" t="inlineStr">
        <is>
          <t>Cash Flow — Items Mapped</t>
        </is>
      </c>
      <c r="B22" s="54" t="inlineStr">
        <is>
          <t>7</t>
        </is>
      </c>
    </row>
    <row r="23">
      <c r="A23" s="53" t="inlineStr">
        <is>
          <t>Cash Flow — Values Written</t>
        </is>
      </c>
      <c r="B23" s="54" t="inlineStr">
        <is>
          <t>8</t>
        </is>
      </c>
    </row>
    <row r="25">
      <c r="A25" s="51" t="inlineStr">
        <is>
          <t>Completeness</t>
        </is>
      </c>
      <c r="B25" s="52" t="inlineStr"/>
    </row>
    <row r="26">
      <c r="A26" s="53" t="inlineStr">
        <is>
          <t>Balance Sheet Completeness</t>
        </is>
      </c>
      <c r="B26" s="54" t="inlineStr">
        <is>
          <t>45.0%</t>
        </is>
      </c>
    </row>
    <row r="27">
      <c r="A27" s="53" t="inlineStr">
        <is>
          <t>P&amp;L Completeness</t>
        </is>
      </c>
      <c r="B27" s="54" t="inlineStr">
        <is>
          <t>73.3%</t>
        </is>
      </c>
    </row>
    <row r="28">
      <c r="A28" s="53" t="inlineStr">
        <is>
          <t>Cash Flow Completeness</t>
        </is>
      </c>
      <c r="B28" s="54" t="inlineStr">
        <is>
          <t>36.4%</t>
        </is>
      </c>
    </row>
    <row r="29">
      <c r="A29" s="53" t="inlineStr">
        <is>
          <t>Overall Completeness</t>
        </is>
      </c>
      <c r="B29" s="55" t="inlineStr">
        <is>
          <t>51.6%</t>
        </is>
      </c>
    </row>
    <row r="31">
      <c r="A31" s="51" t="inlineStr">
        <is>
          <t>CA Validation &amp; Inference</t>
        </is>
      </c>
      <c r="B31" s="52" t="inlineStr"/>
    </row>
    <row r="32">
      <c r="A32" s="53" t="inlineStr">
        <is>
          <t>BS Equation Balanced</t>
        </is>
      </c>
      <c r="B32" s="56" t="inlineStr">
        <is>
          <t>YES</t>
        </is>
      </c>
    </row>
    <row r="33">
      <c r="A33" s="53" t="inlineStr">
        <is>
          <t>CA Validation Errors</t>
        </is>
      </c>
      <c r="B33" s="54" t="inlineStr">
        <is>
          <t>0</t>
        </is>
      </c>
    </row>
    <row r="34">
      <c r="A34" s="53" t="inlineStr">
        <is>
          <t>CA Validation Warnings</t>
        </is>
      </c>
      <c r="B34" s="54" t="inlineStr">
        <is>
          <t>0</t>
        </is>
      </c>
    </row>
    <row r="35">
      <c r="A35" s="53" t="inlineStr">
        <is>
          <t>CA Inferred Mappings Applied</t>
        </is>
      </c>
      <c r="B35" s="54" t="inlineStr">
        <is>
          <t>0</t>
        </is>
      </c>
    </row>
    <row r="36">
      <c r="A36" s="53" t="inlineStr">
        <is>
          <t>Items with Note References</t>
        </is>
      </c>
      <c r="B36" s="54" t="inlineStr">
        <is>
          <t>24</t>
        </is>
      </c>
    </row>
    <row r="37">
      <c r="A37" s="53" t="inlineStr">
        <is>
          <t>Total CA Flags</t>
        </is>
      </c>
      <c r="B37" s="54" t="inlineStr">
        <is>
          <t>2</t>
        </is>
      </c>
    </row>
    <row r="39">
      <c r="A39" s="57" t="inlineStr">
        <is>
          <t>Validation Flags Detail:</t>
        </is>
      </c>
    </row>
    <row r="40">
      <c r="A40" s="58" t="inlineStr">
        <is>
          <t>[INFO] [note_reference] Found 24 note references: (a) Property, Plant and Equipment → Note 2,2; (b) Capital work-in-progress → Note 2; (i) Investments → Note 3; (v) Loans → Note 4,8; (a) Inventories → Note 5; (iii) Cash and cash equivalents → Note 7; (d) Other current assets → Note 9; Other Equity → Note 11; (c) Deferred tax liabilities (Net) → Note 13; (b) Provisions → Note 14; (i) Borrowings → Note 15; (ii) Trade payables → Note 16; (b) Other current liabilities → Note 17; (c) Provisions → Note 18; (ii) Trade receivables → Note 6; Equity Share Capital → Note 10; (B) total outstanding dues of creditors other than micro enterprises and small enterprises. → Note 12; I. Revenue from operations → Note 19; II. Other income → Note 20; Cost of materials consumed → Note 21; Employee benefits expense → Note 22; Finance costs → Note 24; Depreciation and amortisation expense → Note 2; Other expenses → Note 23</t>
        </is>
      </c>
    </row>
    <row r="41">
      <c r="A41" s="58" t="inlineStr">
        <is>
          <t>[INFO] [compliance] Finance costs (43,083.39) exist but no 'Other financial liabilities' found. Per Ind AS 116, lease liabilities (ROU assets) should be recognized on the Balance Sheet. The lease liability may be classified under 'Borrowings' or may be missing from the extraction. (item: Finance costs)</t>
        </is>
      </c>
    </row>
  </sheetData>
  <mergeCells count="3">
    <mergeCell ref="A41:B41"/>
    <mergeCell ref="A1:B1"/>
    <mergeCell ref="A40:B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3"/>
  <sheetViews>
    <sheetView workbookViewId="0">
      <selection activeCell="D7" sqref="D7"/>
    </sheetView>
  </sheetViews>
  <sheetFormatPr baseColWidth="8" defaultRowHeight="14.5"/>
  <cols>
    <col width="49.1796875" customWidth="1" min="2" max="2"/>
    <col width="21.453125" customWidth="1" min="4" max="4"/>
    <col width="30.26953125" customWidth="1" min="7" max="7"/>
  </cols>
  <sheetData>
    <row r="1">
      <c r="C1" s="27" t="inlineStr">
        <is>
          <t>values</t>
        </is>
      </c>
    </row>
    <row r="2">
      <c r="B2" s="1" t="n"/>
      <c r="C2" s="27" t="n"/>
    </row>
    <row r="3">
      <c r="A3" s="13" t="inlineStr">
        <is>
          <t>Non-current assets</t>
        </is>
      </c>
      <c r="B3" s="2" t="inlineStr">
        <is>
          <t>(a) Property, Plant and Equipment</t>
        </is>
      </c>
      <c r="C3" s="28" t="n">
        <v>6528.31</v>
      </c>
    </row>
    <row r="4">
      <c r="A4" s="29" t="n"/>
      <c r="B4" s="2" t="inlineStr">
        <is>
          <t>(b) Capital work-in-progress</t>
        </is>
      </c>
      <c r="C4" s="68" t="inlineStr">
        <is>
          <t>527.16</t>
        </is>
      </c>
    </row>
    <row r="5">
      <c r="A5" s="29" t="n"/>
      <c r="B5" s="2" t="inlineStr">
        <is>
          <t>(c) Investment Property</t>
        </is>
      </c>
    </row>
    <row r="6">
      <c r="A6" s="29" t="n"/>
      <c r="B6" s="2" t="inlineStr">
        <is>
          <t>(d) Goodwill</t>
        </is>
      </c>
    </row>
    <row r="7">
      <c r="A7" s="29" t="n"/>
      <c r="B7" s="2" t="inlineStr">
        <is>
          <t>(e) Other Intangible assets</t>
        </is>
      </c>
    </row>
    <row r="8">
      <c r="A8" s="29" t="n"/>
      <c r="B8" s="2" t="inlineStr">
        <is>
          <t>(f) Intangible assets under development</t>
        </is>
      </c>
    </row>
    <row r="9">
      <c r="A9" s="29" t="n"/>
      <c r="B9" s="2" t="inlineStr">
        <is>
          <t>(g) Biological Assets other than bearer plants</t>
        </is>
      </c>
    </row>
    <row r="10">
      <c r="A10" s="29" t="n"/>
      <c r="B10" s="2" t="inlineStr">
        <is>
          <t>(h) Financial Assets</t>
        </is>
      </c>
      <c r="C10">
        <f>C11+C12+C13+C14</f>
        <v/>
      </c>
    </row>
    <row r="11">
      <c r="A11" s="29" t="n"/>
      <c r="B11" s="2" t="inlineStr">
        <is>
          <t>(i) Investments</t>
        </is>
      </c>
    </row>
    <row r="12">
      <c r="A12" s="29" t="n"/>
      <c r="B12" s="2" t="inlineStr">
        <is>
          <t>(ii) Trade receivables</t>
        </is>
      </c>
    </row>
    <row r="13">
      <c r="A13" s="29" t="n"/>
      <c r="B13" s="2" t="inlineStr">
        <is>
          <t>(iii) Loans</t>
        </is>
      </c>
    </row>
    <row r="14">
      <c r="A14" s="29" t="n"/>
      <c r="B14" s="2" t="inlineStr">
        <is>
          <t>(iv) Others (to be specified)</t>
        </is>
      </c>
    </row>
    <row r="15">
      <c r="A15" s="29" t="n"/>
      <c r="B15" s="2" t="inlineStr">
        <is>
          <t>(i) Deferred tax assets (net)</t>
        </is>
      </c>
    </row>
    <row r="16">
      <c r="A16" s="30" t="n"/>
      <c r="B16" s="2" t="inlineStr">
        <is>
          <t>(j) Other non-current assets</t>
        </is>
      </c>
      <c r="C16" s="28" t="n">
        <v>1992938.26</v>
      </c>
    </row>
    <row r="17">
      <c r="B17" s="3" t="inlineStr">
        <is>
          <t>Total Non Current Assets</t>
        </is>
      </c>
      <c r="C17">
        <f>C3+C4+C5+C6+C7+C8+C9+C10+C15+C16</f>
        <v/>
      </c>
    </row>
    <row r="18">
      <c r="B18" s="3" t="inlineStr">
        <is>
          <t>Total Fixed assets</t>
        </is>
      </c>
      <c r="C18">
        <f>C17</f>
        <v/>
      </c>
    </row>
    <row r="19">
      <c r="B19" s="4" t="n"/>
    </row>
    <row r="20">
      <c r="A20" s="13" t="inlineStr">
        <is>
          <t>Current assets</t>
        </is>
      </c>
      <c r="B20" s="2" t="inlineStr">
        <is>
          <t>(a) Inventories</t>
        </is>
      </c>
      <c r="C20" s="68" t="inlineStr">
        <is>
          <t>172,196.57</t>
        </is>
      </c>
      <c r="D20" t="inlineStr">
        <is>
          <t> </t>
        </is>
      </c>
    </row>
    <row r="21">
      <c r="A21" s="29" t="n"/>
      <c r="B21" s="2" t="inlineStr">
        <is>
          <t>(b) Financial Assets</t>
        </is>
      </c>
      <c r="C21">
        <f>SUM(C22:C27)</f>
        <v/>
      </c>
    </row>
    <row r="22">
      <c r="A22" s="29" t="n"/>
      <c r="B22" s="2" t="inlineStr">
        <is>
          <t>(i) Investments</t>
        </is>
      </c>
      <c r="C22" s="28" t="n">
        <v>71953.48</v>
      </c>
    </row>
    <row r="23">
      <c r="A23" s="29" t="n"/>
      <c r="B23" s="2" t="inlineStr">
        <is>
          <t>(ii) Trade receivables</t>
        </is>
      </c>
      <c r="C23" s="69" t="n">
        <v>159690.91</v>
      </c>
    </row>
    <row r="24">
      <c r="A24" s="29" t="n"/>
      <c r="B24" s="2" t="inlineStr">
        <is>
          <t>(iii) Cash and cash equivalents</t>
        </is>
      </c>
      <c r="C24" s="68" t="inlineStr">
        <is>
          <t>1,446,955.00</t>
        </is>
      </c>
    </row>
    <row r="25">
      <c r="A25" s="29" t="n"/>
      <c r="B25" s="2" t="inlineStr">
        <is>
          <t>(iv) Bank balances other than (iii) above</t>
        </is>
      </c>
    </row>
    <row r="26">
      <c r="A26" s="29" t="n"/>
      <c r="B26" s="2" t="inlineStr">
        <is>
          <t>(v) Loans</t>
        </is>
      </c>
      <c r="C26" s="28" t="n">
        <v>235049.47</v>
      </c>
    </row>
    <row r="27">
      <c r="A27" s="29" t="n"/>
      <c r="B27" s="2" t="inlineStr">
        <is>
          <t>(vi) Others (to be specified)</t>
        </is>
      </c>
    </row>
    <row r="28">
      <c r="A28" s="29" t="n"/>
      <c r="B28" s="2" t="inlineStr">
        <is>
          <t>(c) Current Tax Assets (Net)</t>
        </is>
      </c>
    </row>
    <row r="29">
      <c r="A29" s="30" t="n"/>
      <c r="B29" s="2" t="inlineStr">
        <is>
          <t>(d) Other current assets</t>
        </is>
      </c>
      <c r="C29" s="69" t="n">
        <v>51846.28</v>
      </c>
    </row>
    <row r="30">
      <c r="B30" s="3" t="inlineStr">
        <is>
          <t>Total Current Assets</t>
        </is>
      </c>
      <c r="C30">
        <f>C20+C21+C28+C29</f>
        <v/>
      </c>
    </row>
    <row r="31">
      <c r="B31" s="3" t="inlineStr">
        <is>
          <t>Total Assets</t>
        </is>
      </c>
      <c r="C31">
        <f>C17+C30</f>
        <v/>
      </c>
    </row>
    <row r="32" ht="15" customHeight="1" thickBot="1"/>
    <row r="33">
      <c r="A33" s="31" t="inlineStr">
        <is>
          <t>EQUITY</t>
        </is>
      </c>
      <c r="B33" s="20" t="n"/>
      <c r="C33" s="27" t="n"/>
    </row>
    <row r="34">
      <c r="A34" s="32" t="n"/>
      <c r="B34" s="21" t="inlineStr">
        <is>
          <t>Equity Share Capital</t>
        </is>
      </c>
      <c r="C34" s="68" t="inlineStr">
        <is>
          <t>2,952.60</t>
        </is>
      </c>
    </row>
    <row r="35">
      <c r="A35" s="32" t="n"/>
      <c r="B35" s="21" t="inlineStr">
        <is>
          <t>Other Equity</t>
        </is>
      </c>
      <c r="C35" s="28" t="n">
        <v>412070.28</v>
      </c>
    </row>
    <row r="36">
      <c r="A36" s="32" t="n"/>
      <c r="B36" s="22" t="inlineStr">
        <is>
          <t>Total Equity</t>
        </is>
      </c>
      <c r="C36">
        <f>C34+C35</f>
        <v/>
      </c>
    </row>
    <row r="37">
      <c r="A37" s="32" t="n"/>
      <c r="B37" s="23" t="inlineStr">
        <is>
          <t>Profit for the year</t>
        </is>
      </c>
    </row>
    <row r="38">
      <c r="A38" s="32" t="n"/>
      <c r="B38" s="23" t="inlineStr">
        <is>
          <t>Change in FCTR</t>
        </is>
      </c>
    </row>
    <row r="39" ht="15" customHeight="1" thickBot="1">
      <c r="A39" s="33" t="n"/>
      <c r="B39" s="23" t="inlineStr">
        <is>
          <t>NCI share of loss</t>
        </is>
      </c>
    </row>
    <row r="40"/>
    <row r="41">
      <c r="B41" s="1" t="n"/>
    </row>
    <row r="42">
      <c r="A42" s="14" t="inlineStr">
        <is>
          <t>Non-current liabilities</t>
        </is>
      </c>
      <c r="B42" s="2" t="inlineStr">
        <is>
          <t>(a) Financial Liabilities</t>
        </is>
      </c>
      <c r="C42">
        <f>C43+C44+C47</f>
        <v/>
      </c>
    </row>
    <row r="43">
      <c r="A43" s="29" t="n"/>
      <c r="B43" s="2" t="inlineStr">
        <is>
          <t>(i) Borrowings</t>
        </is>
      </c>
    </row>
    <row r="44">
      <c r="A44" s="29" t="n"/>
      <c r="B44" s="2" t="inlineStr">
        <is>
          <t>(ii) Trade Payables</t>
        </is>
      </c>
      <c r="C44">
        <f>C45+C46</f>
        <v/>
      </c>
    </row>
    <row r="45">
      <c r="A45" s="29" t="n"/>
      <c r="B45" s="2" t="inlineStr">
        <is>
          <t>(A) total outstanding dues of micro enterprises and small enterprises; and</t>
        </is>
      </c>
    </row>
    <row r="46" ht="24.5" customHeight="1">
      <c r="A46" s="29" t="n"/>
      <c r="B46" s="2" t="inlineStr">
        <is>
          <t>(B) total outstanding dues of creditors other than micro enterprises and small enterprises.</t>
        </is>
      </c>
      <c r="C46" s="28" t="n">
        <v>645</v>
      </c>
    </row>
    <row r="47" ht="24.5" customHeight="1">
      <c r="A47" s="29" t="n"/>
      <c r="B47" s="2" t="inlineStr">
        <is>
          <t>(iii) Other financial liabilities (other than those specified in item (b), to be specified)</t>
        </is>
      </c>
    </row>
    <row r="48">
      <c r="A48" s="29" t="n"/>
      <c r="B48" s="2" t="inlineStr">
        <is>
          <t>(b) Provisions</t>
        </is>
      </c>
      <c r="C48" s="28" t="n">
        <v>58.93</v>
      </c>
    </row>
    <row r="49">
      <c r="A49" s="29" t="n"/>
      <c r="B49" s="2" t="inlineStr">
        <is>
          <t>(c) Deferred tax liabilities (Net)</t>
        </is>
      </c>
      <c r="C49" s="28" t="n">
        <v>461.67</v>
      </c>
    </row>
    <row r="50">
      <c r="A50" s="30" t="n"/>
      <c r="B50" s="2" t="inlineStr">
        <is>
          <t>(d) Other non-current liabilities</t>
        </is>
      </c>
    </row>
    <row r="51">
      <c r="B51" s="3" t="inlineStr">
        <is>
          <t>Total Non-current Liabilities</t>
        </is>
      </c>
      <c r="C51">
        <f>C42+C48+C49+C50</f>
        <v/>
      </c>
    </row>
    <row r="52"/>
    <row r="53">
      <c r="A53" s="14" t="inlineStr">
        <is>
          <t>Current liabilities</t>
        </is>
      </c>
      <c r="B53" s="2" t="inlineStr">
        <is>
          <t>(a) Financial Liabilities</t>
        </is>
      </c>
      <c r="C53">
        <f>C54+C55+C56</f>
        <v/>
      </c>
    </row>
    <row r="54">
      <c r="A54" s="29" t="n"/>
      <c r="B54" s="2" t="inlineStr">
        <is>
          <t>(i) Borrowings</t>
        </is>
      </c>
      <c r="C54" s="28" t="n">
        <v>859454.59</v>
      </c>
    </row>
    <row r="55">
      <c r="A55" s="29" t="n"/>
      <c r="B55" s="2" t="inlineStr">
        <is>
          <t>(ii) Trade payables</t>
        </is>
      </c>
      <c r="C55" s="28" t="n">
        <v>710248.01</v>
      </c>
    </row>
    <row r="56">
      <c r="A56" s="29" t="n"/>
      <c r="B56" s="2" t="inlineStr">
        <is>
          <t>(iii) Other financial liabilities (other than those specified in item (c)</t>
        </is>
      </c>
    </row>
    <row r="57">
      <c r="A57" s="29" t="n"/>
      <c r="B57" s="2" t="inlineStr">
        <is>
          <t>(b) Other current liabilities</t>
        </is>
      </c>
      <c r="C57" s="68" t="inlineStr">
        <is>
          <t>2,726.84</t>
        </is>
      </c>
    </row>
    <row r="58">
      <c r="A58" s="29" t="n"/>
      <c r="B58" s="2" t="inlineStr">
        <is>
          <t>(c) Provisions</t>
        </is>
      </c>
      <c r="C58" s="28" t="n">
        <v>4722.75</v>
      </c>
    </row>
    <row r="59">
      <c r="A59" s="30" t="n"/>
      <c r="B59" s="2" t="inlineStr">
        <is>
          <t>(d) Current Tax Liabilities (Net)</t>
        </is>
      </c>
    </row>
    <row r="60">
      <c r="B60" s="3" t="inlineStr">
        <is>
          <t>Total Current Liabilities</t>
        </is>
      </c>
      <c r="C60">
        <f>C53+C57+C58+C59</f>
        <v/>
      </c>
    </row>
    <row r="61">
      <c r="B61" s="3" t="inlineStr">
        <is>
          <t>Total Liabilities</t>
        </is>
      </c>
      <c r="C61">
        <f>C51+C60</f>
        <v/>
      </c>
    </row>
    <row r="62">
      <c r="B62" s="3" t="inlineStr">
        <is>
          <t>Total Equity and Liabilities</t>
        </is>
      </c>
      <c r="C62">
        <f>C36+C61</f>
        <v/>
      </c>
    </row>
    <row r="63">
      <c r="B63" s="3" t="inlineStr">
        <is>
          <t>Total debt</t>
        </is>
      </c>
      <c r="C63">
        <f>C43+C54</f>
        <v/>
      </c>
    </row>
  </sheetData>
  <mergeCells count="5">
    <mergeCell ref="A20:A29"/>
    <mergeCell ref="A33:A39"/>
    <mergeCell ref="A42:A50"/>
    <mergeCell ref="A3:A16"/>
    <mergeCell ref="A53:A59"/>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32"/>
  <sheetViews>
    <sheetView topLeftCell="A16" workbookViewId="0">
      <selection activeCell="A19" sqref="A19"/>
    </sheetView>
  </sheetViews>
  <sheetFormatPr baseColWidth="8" defaultRowHeight="14.5"/>
  <cols>
    <col width="43.26953125" customWidth="1" min="2" max="2"/>
    <col width="36.453125" bestFit="1" customWidth="1" min="4" max="4"/>
  </cols>
  <sheetData>
    <row r="1"/>
    <row r="2">
      <c r="A2" s="12" t="n"/>
      <c r="B2" s="12" t="n"/>
      <c r="C2" s="12" t="inlineStr">
        <is>
          <t>Values</t>
        </is>
      </c>
    </row>
    <row r="3">
      <c r="A3" s="13" t="inlineStr">
        <is>
          <t>Income</t>
        </is>
      </c>
      <c r="B3" s="5" t="inlineStr">
        <is>
          <t>I. Revenue from operations</t>
        </is>
      </c>
      <c r="C3" s="69" t="n">
        <v>3366046.34</v>
      </c>
    </row>
    <row r="4">
      <c r="A4" s="29" t="n"/>
      <c r="B4" s="6" t="inlineStr">
        <is>
          <t>II. Other income</t>
        </is>
      </c>
      <c r="C4" s="69" t="n">
        <v>3825.43</v>
      </c>
    </row>
    <row r="5">
      <c r="A5" s="30" t="n"/>
      <c r="B5" s="7" t="inlineStr">
        <is>
          <t>III. Total Income (I + II)</t>
        </is>
      </c>
      <c r="C5">
        <f>C3+C4</f>
        <v/>
      </c>
    </row>
    <row r="6"/>
    <row r="7"/>
    <row r="8">
      <c r="A8" s="13" t="inlineStr">
        <is>
          <t>Taxes</t>
        </is>
      </c>
      <c r="B8" s="2" t="inlineStr">
        <is>
          <t>(1) Current tax</t>
        </is>
      </c>
      <c r="C8" s="28" t="n">
        <v>4722.75</v>
      </c>
    </row>
    <row r="9">
      <c r="A9" s="29" t="n"/>
      <c r="B9" s="2" t="inlineStr">
        <is>
          <t>(2) Deferred tax</t>
        </is>
      </c>
      <c r="C9" s="69" t="n">
        <v>-1.02</v>
      </c>
    </row>
    <row r="10">
      <c r="A10" s="30" t="n"/>
      <c r="B10" s="3" t="inlineStr">
        <is>
          <t>VIII. Tax expense:</t>
        </is>
      </c>
      <c r="C10">
        <f>C8+C9</f>
        <v/>
      </c>
    </row>
    <row r="11"/>
    <row r="12"/>
    <row r="13">
      <c r="A13" s="13" t="inlineStr">
        <is>
          <t>Profit/Loss</t>
        </is>
      </c>
      <c r="B13" s="2" t="inlineStr">
        <is>
          <t>X. Profit/(loss) from discontinued operations</t>
        </is>
      </c>
      <c r="C13" s="28" t="n">
        <v>44118.38</v>
      </c>
    </row>
    <row r="14">
      <c r="A14" s="29" t="n"/>
      <c r="B14" s="9" t="inlineStr">
        <is>
          <t>XI. Tax expense of discontinued operations</t>
        </is>
      </c>
    </row>
    <row r="15">
      <c r="A15" s="29" t="n"/>
      <c r="B15" s="2" t="inlineStr">
        <is>
          <t>XII. Profit/(loss) from Discontinuing operations (after tax) (X-XI)</t>
        </is>
      </c>
    </row>
    <row r="16">
      <c r="A16" s="29" t="n"/>
      <c r="B16" s="10" t="inlineStr">
        <is>
          <t>XIII. Profit/(Loss) after taxes (IX + XII)</t>
        </is>
      </c>
      <c r="C16">
        <f>C17+C15</f>
        <v/>
      </c>
    </row>
    <row r="17" ht="24.5" customHeight="1">
      <c r="A17" s="30" t="n"/>
      <c r="B17" s="3" t="inlineStr">
        <is>
          <t>IX. Profit/(Loss) for the period from continuing operations (VII-VIII)</t>
        </is>
      </c>
      <c r="C17">
        <f>C32-C10</f>
        <v/>
      </c>
    </row>
    <row r="18"/>
    <row r="19">
      <c r="B19" s="3" t="inlineStr">
        <is>
          <t>EBITDA</t>
        </is>
      </c>
      <c r="C19">
        <f>C32+C27+C26</f>
        <v/>
      </c>
    </row>
    <row r="20">
      <c r="B20" s="3" t="inlineStr">
        <is>
          <t>EBIT</t>
        </is>
      </c>
      <c r="C20">
        <f>C32+C26</f>
        <v/>
      </c>
    </row>
    <row r="21"/>
    <row r="22">
      <c r="A22" s="18" t="inlineStr">
        <is>
          <t>IV. Expenses:</t>
        </is>
      </c>
      <c r="B22" s="5" t="inlineStr">
        <is>
          <t>Cost of materials consumed</t>
        </is>
      </c>
      <c r="C22" s="68" t="inlineStr">
        <is>
          <t>3,273,107.20</t>
        </is>
      </c>
    </row>
    <row r="23">
      <c r="A23" s="29" t="n"/>
      <c r="B23" s="6" t="inlineStr">
        <is>
          <t>Purchases of Stock-in-Trade</t>
        </is>
      </c>
    </row>
    <row r="24" ht="24.5" customHeight="1">
      <c r="A24" s="29" t="n"/>
      <c r="B24" s="2" t="inlineStr">
        <is>
          <t>Changes in inventories of finished goods, work-in-progress and Stock-in-Trade</t>
        </is>
      </c>
    </row>
    <row r="25">
      <c r="A25" s="29" t="n"/>
      <c r="B25" s="6" t="inlineStr">
        <is>
          <t>Employee benefits expense</t>
        </is>
      </c>
      <c r="C25" s="68" t="inlineStr">
        <is>
          <t>14,691.03</t>
        </is>
      </c>
    </row>
    <row r="26">
      <c r="A26" s="29" t="n"/>
      <c r="B26" s="6" t="inlineStr">
        <is>
          <t>Finance costs</t>
        </is>
      </c>
      <c r="C26" s="69" t="n">
        <v>43083.39</v>
      </c>
    </row>
    <row r="27">
      <c r="A27" s="29" t="n"/>
      <c r="B27" s="6" t="inlineStr">
        <is>
          <t>Depreciation and amortisation expense</t>
        </is>
      </c>
      <c r="C27" s="69" t="n">
        <v>149.19</v>
      </c>
    </row>
    <row r="28">
      <c r="A28" s="29" t="n"/>
      <c r="B28" s="6" t="inlineStr">
        <is>
          <t>Other expenses</t>
        </is>
      </c>
      <c r="C28" s="28" t="n">
        <v>4072.75</v>
      </c>
    </row>
    <row r="29">
      <c r="A29" s="29" t="n"/>
      <c r="B29" s="7" t="inlineStr">
        <is>
          <t>Total expenses</t>
        </is>
      </c>
      <c r="C29">
        <f>SUM(C22:C28)</f>
        <v/>
      </c>
    </row>
    <row r="30">
      <c r="A30" s="29" t="n"/>
      <c r="B30" s="8" t="inlineStr">
        <is>
          <t>V. Profit/(loss) before exceptional items and tax (III - IV)</t>
        </is>
      </c>
      <c r="C30">
        <f>C5-C29</f>
        <v/>
      </c>
    </row>
    <row r="31">
      <c r="A31" s="29" t="n"/>
      <c r="B31" s="8" t="inlineStr">
        <is>
          <t>VI. Exceptional items</t>
        </is>
      </c>
      <c r="C31" s="28" t="n">
        <v>48840.11</v>
      </c>
    </row>
    <row r="32">
      <c r="A32" s="30" t="n"/>
      <c r="B32" s="3" t="inlineStr">
        <is>
          <t>VII. Profit/(loss) before tax (V-VI)</t>
        </is>
      </c>
      <c r="C32">
        <f>C30-C31</f>
        <v/>
      </c>
    </row>
  </sheetData>
  <mergeCells count="4">
    <mergeCell ref="A22:A32"/>
    <mergeCell ref="A13:A17"/>
    <mergeCell ref="A8:A10"/>
    <mergeCell ref="A3:A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25"/>
  <sheetViews>
    <sheetView tabSelected="1" topLeftCell="A12" workbookViewId="0">
      <selection activeCell="F9" sqref="F9"/>
    </sheetView>
  </sheetViews>
  <sheetFormatPr baseColWidth="8" defaultRowHeight="14.5"/>
  <cols>
    <col width="47.54296875" bestFit="1" customWidth="1" min="2" max="2"/>
  </cols>
  <sheetData>
    <row r="1"/>
    <row r="2">
      <c r="C2" s="27" t="inlineStr">
        <is>
          <t>Values</t>
        </is>
      </c>
    </row>
    <row r="3">
      <c r="A3" s="19" t="inlineStr">
        <is>
          <t xml:space="preserve">Cash Flow </t>
        </is>
      </c>
      <c r="B3" s="11" t="inlineStr">
        <is>
          <t>Cash Flows From Operations</t>
        </is>
      </c>
      <c r="C3" s="28" t="n">
        <v>-285549.36</v>
      </c>
    </row>
    <row r="4">
      <c r="A4" s="29" t="n"/>
      <c r="B4" s="11" t="inlineStr">
        <is>
          <t>Cash Flows From Investing</t>
        </is>
      </c>
      <c r="C4" s="28" t="n">
        <v>1109.34</v>
      </c>
    </row>
    <row r="5">
      <c r="A5" s="30" t="n"/>
      <c r="B5" s="11" t="inlineStr">
        <is>
          <t>Cash Flows From Financing</t>
        </is>
      </c>
      <c r="C5" s="68" t="inlineStr">
        <is>
          <t>259,580.41</t>
        </is>
      </c>
    </row>
    <row r="6"/>
    <row r="7">
      <c r="A7" s="13" t="inlineStr">
        <is>
          <t>Other Financial Information</t>
        </is>
      </c>
      <c r="B7" s="11" t="inlineStr">
        <is>
          <t>Contingent Liabilities</t>
        </is>
      </c>
    </row>
    <row r="8">
      <c r="A8" s="29" t="n"/>
      <c r="B8" s="11" t="inlineStr">
        <is>
          <t>Creditors outstanding for more than 1 year</t>
        </is>
      </c>
    </row>
    <row r="9">
      <c r="A9" s="29" t="n"/>
      <c r="B9" s="11" t="inlineStr">
        <is>
          <t>Debtors outstanding for more than 1 year</t>
        </is>
      </c>
    </row>
    <row r="10">
      <c r="A10" s="29" t="n"/>
      <c r="B10" s="11" t="inlineStr">
        <is>
          <t>Inventory outstanding for more than 180 days</t>
        </is>
      </c>
    </row>
    <row r="11">
      <c r="A11" s="29" t="n"/>
      <c r="B11" s="11" t="inlineStr">
        <is>
          <t>Disputed Trade Receivable</t>
        </is>
      </c>
    </row>
    <row r="12">
      <c r="A12" s="29" t="n"/>
      <c r="B12" s="11" t="inlineStr">
        <is>
          <t>Advance from Customers</t>
        </is>
      </c>
      <c r="C12" s="28" t="n">
        <v>170562.08</v>
      </c>
    </row>
    <row r="13">
      <c r="A13" s="29" t="n"/>
      <c r="B13" s="11" t="inlineStr">
        <is>
          <t>Power and fuel/electricity Expenses</t>
        </is>
      </c>
      <c r="C13" s="28" t="n">
        <v>-98.02</v>
      </c>
    </row>
    <row r="14">
      <c r="A14" s="29" t="n"/>
      <c r="B14" s="11" t="inlineStr">
        <is>
          <t>Significant impairment of assets/ write-offs</t>
        </is>
      </c>
    </row>
    <row r="15">
      <c r="A15" s="29" t="n"/>
      <c r="B15" s="11" t="inlineStr">
        <is>
          <t>Auditors Remunerations</t>
        </is>
      </c>
    </row>
    <row r="16">
      <c r="A16" s="29" t="n"/>
      <c r="B16" s="11" t="inlineStr">
        <is>
          <t>One-time revenue (revaluation of assets, etc.)</t>
        </is>
      </c>
    </row>
    <row r="17">
      <c r="A17" s="29" t="n"/>
      <c r="B17" s="11" t="inlineStr">
        <is>
          <t>Provision for doubtful debts expense</t>
        </is>
      </c>
    </row>
    <row r="18">
      <c r="A18" s="29" t="n"/>
      <c r="B18" s="11" t="inlineStr">
        <is>
          <t>Bad Debts expenses</t>
        </is>
      </c>
      <c r="C18" s="28" t="n">
        <v>0</v>
      </c>
    </row>
    <row r="19">
      <c r="A19" s="29" t="n"/>
      <c r="B19" s="11" t="inlineStr">
        <is>
          <t>RP Investments</t>
        </is>
      </c>
    </row>
    <row r="20">
      <c r="A20" s="29" t="n"/>
      <c r="B20" s="11" t="inlineStr">
        <is>
          <t>RP Expenses</t>
        </is>
      </c>
    </row>
    <row r="21">
      <c r="A21" s="29" t="n"/>
      <c r="B21" s="11" t="inlineStr">
        <is>
          <t>RP Revenues</t>
        </is>
      </c>
    </row>
    <row r="22">
      <c r="A22" s="29" t="n"/>
      <c r="B22" s="11" t="inlineStr">
        <is>
          <t>RP Loan and Advances*</t>
        </is>
      </c>
      <c r="C22" s="28" t="n">
        <v>725.35</v>
      </c>
    </row>
    <row r="23">
      <c r="A23" s="29" t="n"/>
      <c r="B23" s="11" t="inlineStr">
        <is>
          <t>RP Bad debts</t>
        </is>
      </c>
    </row>
    <row r="24">
      <c r="A24" s="29" t="n"/>
      <c r="B24" s="11" t="inlineStr">
        <is>
          <t>RP Loan (Liab)</t>
        </is>
      </c>
    </row>
    <row r="25">
      <c r="A25" s="30" t="n"/>
      <c r="B25" s="11" t="inlineStr">
        <is>
          <t>Current maturities of borrowings/debts, including interest</t>
        </is>
      </c>
      <c r="C25" s="28" t="n">
        <v>-317.03</v>
      </c>
    </row>
  </sheetData>
  <mergeCells count="2">
    <mergeCell ref="A7:A25"/>
    <mergeCell ref="A3:A5"/>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111"/>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as at March 31, 2018</t>
        </is>
      </c>
      <c r="E1" s="34" t="inlineStr">
        <is>
          <t>2013</t>
        </is>
      </c>
      <c r="F1" s="34" t="inlineStr">
        <is>
          <t>Indent</t>
        </is>
      </c>
      <c r="G1" s="34" t="inlineStr">
        <is>
          <t>Section Header</t>
        </is>
      </c>
      <c r="H1" s="34" t="inlineStr">
        <is>
          <t>Total Row</t>
        </is>
      </c>
      <c r="I1" s="34" t="inlineStr">
        <is>
          <t>Raw Text</t>
        </is>
      </c>
    </row>
    <row r="2">
      <c r="A2" s="35" t="n">
        <v>1</v>
      </c>
      <c r="B2" s="36" t="inlineStr">
        <is>
          <t>which comprise the Balance Sheet as at March 31, 2018, the Statement of Profit and Loss (including Other</t>
        </is>
      </c>
      <c r="C2" s="35" t="inlineStr"/>
      <c r="D2" s="37" t="inlineStr"/>
      <c r="E2" s="37" t="inlineStr"/>
      <c r="F2" s="35" t="n">
        <v>0</v>
      </c>
      <c r="G2" s="35" t="inlineStr"/>
      <c r="H2" s="35" t="inlineStr"/>
      <c r="I2" s="38" t="inlineStr">
        <is>
          <t>which comprise the Balance Sheet as at March 31, 2018, the Statement of Profit and Loss (including Other</t>
        </is>
      </c>
    </row>
    <row r="3">
      <c r="A3" s="35" t="n">
        <v>2</v>
      </c>
      <c r="B3" s="36" t="inlineStr">
        <is>
          <t>Comprehensive Income), the Cash Flow Statement and the Statement of Changes in Equity for the year then ended, and a summary of the significant accounting policies and other explanatory information.</t>
        </is>
      </c>
      <c r="C3" s="35" t="inlineStr"/>
      <c r="D3" s="37" t="inlineStr"/>
      <c r="E3" s="37" t="inlineStr"/>
      <c r="F3" s="35" t="n">
        <v>0</v>
      </c>
      <c r="G3" s="35" t="inlineStr"/>
      <c r="H3" s="35" t="inlineStr"/>
      <c r="I3" s="38" t="inlineStr">
        <is>
          <t>Comprehensive Income), the Cash Flow Statement and the Statement of Changes in Equity for the year then | ended, and a summary of the significant accounting policies and other explanatory information.</t>
        </is>
      </c>
    </row>
    <row r="4">
      <c r="A4" s="35" t="n">
        <v>3</v>
      </c>
      <c r="B4" s="36" t="inlineStr">
        <is>
          <t>Management’s Responsibility for the Standalone Ind AS Financial Statements</t>
        </is>
      </c>
      <c r="C4" s="35" t="inlineStr"/>
      <c r="D4" s="37" t="inlineStr"/>
      <c r="E4" s="37" t="inlineStr"/>
      <c r="F4" s="35" t="n">
        <v>0</v>
      </c>
      <c r="G4" s="35" t="inlineStr"/>
      <c r="H4" s="35" t="inlineStr"/>
      <c r="I4" s="38" t="inlineStr">
        <is>
          <t>Management’s Responsibility for the Standalone Ind AS Financial Statements</t>
        </is>
      </c>
    </row>
    <row r="5">
      <c r="A5" s="35" t="n">
        <v>4</v>
      </c>
      <c r="B5" s="36" t="inlineStr">
        <is>
          <t>2. The Company’s Board of Directors is responsible for the matters stated in Section 134(5) of the Companies Act,</t>
        </is>
      </c>
      <c r="C5" s="35" t="inlineStr"/>
      <c r="D5" s="37" t="inlineStr"/>
      <c r="E5" s="37" t="inlineStr"/>
      <c r="F5" s="35" t="n">
        <v>0</v>
      </c>
      <c r="G5" s="35" t="inlineStr"/>
      <c r="H5" s="35" t="inlineStr"/>
      <c r="I5" s="38" t="inlineStr">
        <is>
          <t>2. The Company’s Board of Directors is responsible for the matters stated in Section 134(5) of the Companies Act,</t>
        </is>
      </c>
    </row>
    <row r="6">
      <c r="A6" s="35" t="n">
        <v>5</v>
      </c>
      <c r="B6" s="36" t="inlineStr">
        <is>
          <t>2013 (“the Act”) with respect to the preparation of these standalone Ind AS financial statements to give a true and fair view of the financial position, financial performance (including other comprehensive income), cash flows and changes in equity of the Company in accordance with the accounting principles generally accepted in India,</t>
        </is>
      </c>
      <c r="C6" s="35" t="inlineStr"/>
      <c r="D6" s="37" t="inlineStr"/>
      <c r="E6" s="37" t="inlineStr"/>
      <c r="F6" s="35" t="n">
        <v>0</v>
      </c>
      <c r="G6" s="35" t="inlineStr"/>
      <c r="H6" s="35" t="inlineStr"/>
      <c r="I6" s="38" t="inlineStr">
        <is>
          <t>2013 (“the Act”) with respect to the preparation of these standalone Ind AS financial statements to give a true | and fair view of the financial position, financial performance (including other comprehensive income), cash flows</t>
        </is>
      </c>
    </row>
    <row r="7">
      <c r="A7" s="35" t="n">
        <v>6</v>
      </c>
      <c r="B7" s="36" t="inlineStr">
        <is>
          <t>including the Indian Accounting Standards specified in the Companies (Indian Accounting Standards) Rules,</t>
        </is>
      </c>
      <c r="C7" s="35" t="inlineStr"/>
      <c r="D7" s="37" t="inlineStr">
        <is>
          <t>2015</t>
        </is>
      </c>
      <c r="E7" s="37" t="inlineStr"/>
      <c r="F7" s="35" t="n">
        <v>0</v>
      </c>
      <c r="G7" s="35" t="inlineStr"/>
      <c r="H7" s="35" t="inlineStr"/>
      <c r="I7" s="38" t="inlineStr">
        <is>
          <t>including the Indian Accounting Standards specified in the Companies (Indian Accounting Standards) Rules, 2015</t>
        </is>
      </c>
    </row>
    <row r="8">
      <c r="A8" s="35" t="n">
        <v>7</v>
      </c>
      <c r="B8" s="36" t="inlineStr">
        <is>
          <t>(as amended) under Section 133 of the Act. This responsibility also includes maintenance of adequate accounting records in accordance with the provisions of the Act for safeguarding of the assets of the Company and for preventing and detecting frauds and other irregularities; selection and application of appropriate accounting policies; making judgments and estimates that are reasonable and prudent; and design, implementation and maintenance of adequate internal financial controls, that were operating effectively for ensuring the accuracy and completeness of the accounting records, relevant to the preparation and presentation of the standalone Ind AS financial statements that give a true and fair view and are free from material misstatement, whether due to fraud or error.</t>
        </is>
      </c>
      <c r="C8" s="35" t="inlineStr"/>
      <c r="D8" s="37" t="inlineStr"/>
      <c r="E8" s="37" t="inlineStr"/>
      <c r="F8" s="35" t="n">
        <v>0</v>
      </c>
      <c r="G8" s="35" t="inlineStr"/>
      <c r="H8" s="35" t="inlineStr"/>
      <c r="I8" s="38" t="inlineStr">
        <is>
          <t>(as amended) under Section 133 of the Act. This responsibility also includes maintenance of adequate accounting | records in accordance with the provisions of the Act for safeguarding of the assets of the Company and for preventing</t>
        </is>
      </c>
    </row>
    <row r="9">
      <c r="A9" s="35" t="n">
        <v>8</v>
      </c>
      <c r="B9" s="36" t="inlineStr">
        <is>
          <t>Auditor’s Responsibility</t>
        </is>
      </c>
      <c r="C9" s="35" t="inlineStr"/>
      <c r="D9" s="37" t="inlineStr"/>
      <c r="E9" s="37" t="inlineStr"/>
      <c r="F9" s="35" t="n">
        <v>0</v>
      </c>
      <c r="G9" s="35" t="inlineStr"/>
      <c r="H9" s="35" t="inlineStr"/>
      <c r="I9" s="38" t="inlineStr">
        <is>
          <t>Auditor’s Responsibility</t>
        </is>
      </c>
    </row>
    <row r="10">
      <c r="A10" s="35" t="n">
        <v>9</v>
      </c>
      <c r="B10" s="36" t="inlineStr">
        <is>
          <t>3. Our responsibility is to express an opinion on these standalone Ind AS financial statements based on our audit.</t>
        </is>
      </c>
      <c r="C10" s="35" t="inlineStr"/>
      <c r="D10" s="37" t="inlineStr"/>
      <c r="E10" s="37" t="inlineStr"/>
      <c r="F10" s="35" t="n">
        <v>0</v>
      </c>
      <c r="G10" s="35" t="inlineStr"/>
      <c r="H10" s="35" t="inlineStr"/>
      <c r="I10" s="38" t="inlineStr">
        <is>
          <t>3. Our responsibility is to express an opinion on these standalone Ind AS financial statements based on our audit.</t>
        </is>
      </c>
    </row>
    <row r="11">
      <c r="A11" s="35" t="n">
        <v>10</v>
      </c>
      <c r="B11" s="36" t="inlineStr">
        <is>
          <t>4. We have taken into account the provisions of the Act and the Rules made thereunder including the accounting and auditing standards and matters which are required to be included in the audit report under the provisions of the</t>
        </is>
      </c>
      <c r="C11" s="35" t="inlineStr"/>
      <c r="D11" s="37" t="inlineStr"/>
      <c r="E11" s="37" t="inlineStr"/>
      <c r="F11" s="35" t="n">
        <v>0</v>
      </c>
      <c r="G11" s="35" t="inlineStr"/>
      <c r="H11" s="35" t="inlineStr"/>
      <c r="I11" s="38" t="inlineStr">
        <is>
          <t>4. We have taken into account the provisions of the Act and the Rules made thereunder including the accounting and | auditing standards and matters which are required to be included in the audit report under the provisions of the</t>
        </is>
      </c>
    </row>
    <row r="12">
      <c r="A12" s="35" t="n">
        <v>11</v>
      </c>
      <c r="B12" s="36" t="inlineStr">
        <is>
          <t>Act and the Rules made thereunder</t>
        </is>
      </c>
      <c r="C12" s="35" t="inlineStr"/>
      <c r="D12" s="37" t="inlineStr"/>
      <c r="E12" s="37" t="inlineStr"/>
      <c r="F12" s="35" t="n">
        <v>0</v>
      </c>
      <c r="G12" s="35" t="inlineStr"/>
      <c r="H12" s="35" t="inlineStr"/>
      <c r="I12" s="38" t="inlineStr">
        <is>
          <t>Act and the Rules made thereunder</t>
        </is>
      </c>
    </row>
    <row r="13">
      <c r="A13" s="35" t="n">
        <v>12</v>
      </c>
      <c r="B13" s="36" t="inlineStr">
        <is>
          <t>5. We conducted our audit of the standalone Ind AS financial statements in accordance with the Standards on Auditing specified under Section 143(10) of the Act and other applicable authoritative pronouncements issued by the Institute requirements and plan and perform the audit to obtain reasonable assurance about whether the standalone Ind AS financial statements are free from material misstatement. We are also responsible to conclude on the appropriateness of management’s use of the going concern basis of accounting and, based on the audit evidence obtained, whether a material uncertainty exists related to events or conditions that may cast significant doubt on the entity’s ability to continue as a going concern. If we conclude that a material uncertainty exists, we are required to draw attention in the auditor’s report to the related disclosures in the financial statements or, if such disclosures are inadequate, to modify the opinion. Our conclusions are based on the audit evidence obtained up to the date of the auditor’s report. However, future events or conditions may cause an entity to cease to continue as a going concern.</t>
        </is>
      </c>
      <c r="C13" s="35" t="inlineStr"/>
      <c r="D13" s="37" t="inlineStr"/>
      <c r="E13" s="37" t="inlineStr"/>
      <c r="F13" s="35" t="n">
        <v>0</v>
      </c>
      <c r="G13" s="35" t="inlineStr"/>
      <c r="H13" s="35" t="inlineStr"/>
      <c r="I13" s="38" t="inlineStr">
        <is>
          <t>5. We conducted our audit of the standalone Ind AS financial statements in accordance with the Standards on Auditing | specified under Section 143(10) of the Act and other applicable authoritative pronouncements issued by the Institute</t>
        </is>
      </c>
    </row>
    <row r="14">
      <c r="A14" s="35" t="n">
        <v>13</v>
      </c>
      <c r="B14" s="36" t="inlineStr">
        <is>
          <t>6. An audit involves performing procedures to obtain audit evidence about the amounts and the disclosures in the standalone Ind AS financial statements. The procedures selected depend on the auditors’ judgment, including the assessment of the risks of material misstatement of the standalone Ind AS financial statements, whether due to fraud or error. In making those risk assessments, the auditor considers internal financial control relevant to the</t>
        </is>
      </c>
      <c r="C14" s="35" t="inlineStr"/>
      <c r="D14" s="37" t="inlineStr"/>
      <c r="E14" s="37" t="inlineStr"/>
      <c r="F14" s="35" t="n">
        <v>0</v>
      </c>
      <c r="G14" s="35" t="inlineStr"/>
      <c r="H14" s="35" t="inlineStr"/>
      <c r="I14" s="38" t="inlineStr">
        <is>
          <t>6. An audit involves performing procedures to obtain audit evidence about the amounts and the disclosures in the | standalone Ind AS financial statements. The procedures selected depend on the auditors’ judgment, including the</t>
        </is>
      </c>
    </row>
    <row r="15">
      <c r="A15" s="35" t="n">
        <v>14</v>
      </c>
      <c r="B15" s="36" t="inlineStr">
        <is>
          <t>Company’s preparation of the standalone Ind AS financial statements that give a true and fair view, in order to design audit procedures that are appropriate in the circumstances. An audit also includes evaluating the appropriateness of the accounting policies used and the reasonableness of the accounting estimates made by the company’s Director, as well as evaluating the overall presentation of the standalone Ind AS Financial Statements.</t>
        </is>
      </c>
      <c r="C15" s="35" t="inlineStr"/>
      <c r="D15" s="37" t="inlineStr"/>
      <c r="E15" s="37" t="inlineStr"/>
      <c r="F15" s="35" t="n">
        <v>0</v>
      </c>
      <c r="G15" s="35" t="inlineStr"/>
      <c r="H15" s="35" t="inlineStr"/>
      <c r="I15" s="38" t="inlineStr">
        <is>
          <t>Company’s preparation of the standalone Ind AS financial statements that give a true and fair view, in order to design | audit procedures that are appropriate in the circumstances. An audit also includes evaluating the appropriateness</t>
        </is>
      </c>
    </row>
    <row r="16">
      <c r="A16" s="35" t="n">
        <v>15</v>
      </c>
      <c r="B16" s="36" t="inlineStr">
        <is>
          <t>7. We believe that the audit evidences we have obtained is sufficient and appropriate to provide as a basis for our audit opinion on the standalone Ind AS Financial Statement.</t>
        </is>
      </c>
      <c r="C16" s="35" t="inlineStr"/>
      <c r="D16" s="37" t="inlineStr"/>
      <c r="E16" s="37" t="inlineStr"/>
      <c r="F16" s="35" t="n">
        <v>0</v>
      </c>
      <c r="G16" s="35" t="inlineStr"/>
      <c r="H16" s="35" t="inlineStr"/>
      <c r="I16" s="38" t="inlineStr">
        <is>
          <t>7. We believe that the audit evidences we have obtained is sufficient and appropriate to provide as a basis for our | audit opinion on the standalone Ind AS Financial Statement.</t>
        </is>
      </c>
    </row>
    <row r="17">
      <c r="A17" s="35" t="n">
        <v>16</v>
      </c>
      <c r="B17" s="36" t="inlineStr">
        <is>
          <t>Opinion</t>
        </is>
      </c>
      <c r="C17" s="35" t="inlineStr"/>
      <c r="D17" s="37" t="inlineStr"/>
      <c r="E17" s="37" t="inlineStr"/>
      <c r="F17" s="35" t="n">
        <v>0</v>
      </c>
      <c r="G17" s="35" t="inlineStr"/>
      <c r="H17" s="35" t="inlineStr"/>
      <c r="I17" s="38" t="inlineStr">
        <is>
          <t>Opinion</t>
        </is>
      </c>
    </row>
    <row r="18">
      <c r="A18" s="35" t="n">
        <v>17</v>
      </c>
      <c r="B18" s="36" t="inlineStr">
        <is>
          <t>8. In our opinion and to the best of our information and according to the explanations given to us, the aforesaid standalone Ind AS financial statements give the information required by the Act in the manner so required and give a true and fair view in conformity with the accounting principles generally accepted in India, of the state of affairs of the company as at March 31st 2018, and it’s total comprehensive income (Comprising of profit and other</t>
        </is>
      </c>
      <c r="C18" s="35" t="inlineStr"/>
      <c r="D18" s="37" t="inlineStr"/>
      <c r="E18" s="37" t="inlineStr"/>
      <c r="F18" s="35" t="n">
        <v>0</v>
      </c>
      <c r="G18" s="35" t="inlineStr"/>
      <c r="H18" s="35" t="inlineStr"/>
      <c r="I18" s="38" t="inlineStr">
        <is>
          <t>8. In our opinion and to the best of our information and according to the explanations given to us, the aforesaid | standalone Ind AS financial statements give the information required by the Act in the manner so required and</t>
        </is>
      </c>
    </row>
    <row r="19">
      <c r="A19" s="35" t="n">
        <v>18</v>
      </c>
      <c r="B19" s="36" t="inlineStr">
        <is>
          <t>Comprehensive income), it’s Cash flow and the Change of equity for the year ended on that date.</t>
        </is>
      </c>
      <c r="C19" s="35" t="inlineStr"/>
      <c r="D19" s="37" t="inlineStr"/>
      <c r="E19" s="37" t="inlineStr"/>
      <c r="F19" s="35" t="n">
        <v>0</v>
      </c>
      <c r="G19" s="35" t="inlineStr"/>
      <c r="H19" s="35" t="inlineStr"/>
      <c r="I19" s="38" t="inlineStr">
        <is>
          <t>Comprehensive income), it’s Cash flow and the Change of equity for the year ended on that date.</t>
        </is>
      </c>
    </row>
    <row r="20">
      <c r="A20" s="35" t="n">
        <v>19</v>
      </c>
      <c r="B20" s="36" t="inlineStr">
        <is>
          <t>Other matters</t>
        </is>
      </c>
      <c r="C20" s="35" t="inlineStr"/>
      <c r="D20" s="37" t="inlineStr"/>
      <c r="E20" s="37" t="inlineStr"/>
      <c r="F20" s="35" t="n">
        <v>0</v>
      </c>
      <c r="G20" s="35" t="inlineStr"/>
      <c r="H20" s="35" t="inlineStr"/>
      <c r="I20" s="38" t="inlineStr">
        <is>
          <t>Other matters</t>
        </is>
      </c>
    </row>
    <row r="21">
      <c r="A21" s="35" t="n">
        <v>20</v>
      </c>
      <c r="B21" s="36" t="inlineStr">
        <is>
          <t>9. The Ind AS financial statements of the Company for the year ended March 31, 2017, were audited by the previous statements.</t>
        </is>
      </c>
      <c r="C21" s="35" t="inlineStr"/>
      <c r="D21" s="37" t="inlineStr"/>
      <c r="E21" s="37" t="inlineStr"/>
      <c r="F21" s="35" t="n">
        <v>0</v>
      </c>
      <c r="G21" s="35" t="inlineStr"/>
      <c r="H21" s="35" t="inlineStr"/>
      <c r="I21" s="38" t="inlineStr">
        <is>
          <t>9. The Ind AS financial statements of the Company for the year ended March 31, 2017, were audited by the previous | statements.</t>
        </is>
      </c>
    </row>
    <row r="22">
      <c r="A22" s="35" t="n">
        <v>21</v>
      </c>
      <c r="B22" s="36" t="inlineStr">
        <is>
          <t>Reporting on other legal and regulatory requirement</t>
        </is>
      </c>
      <c r="C22" s="35" t="inlineStr"/>
      <c r="D22" s="37" t="inlineStr"/>
      <c r="E22" s="37" t="inlineStr"/>
      <c r="F22" s="35" t="n">
        <v>0</v>
      </c>
      <c r="G22" s="35" t="inlineStr"/>
      <c r="H22" s="35" t="inlineStr"/>
      <c r="I22" s="38" t="inlineStr">
        <is>
          <t>Reporting on other legal and regulatory requirement</t>
        </is>
      </c>
    </row>
    <row r="23">
      <c r="A23" s="35" t="n">
        <v>22</v>
      </c>
      <c r="B23" s="36" t="inlineStr">
        <is>
          <t>10. As required by the Companies (Auditor’s Report) Order, 2016, issued by the Central Government of India in terms of sub-section (11) of section 143 of the Act (“the Order”), and on the basis of such checks of the books and records of the Company as we considered appropriate and according to the information and explanations given to us, we give in the Annexure B a statement on the matters specified in paragraphs 3 and 4 of the Order.</t>
        </is>
      </c>
      <c r="C23" s="35" t="inlineStr"/>
      <c r="D23" s="37" t="inlineStr"/>
      <c r="E23" s="37" t="inlineStr"/>
      <c r="F23" s="35" t="n">
        <v>0</v>
      </c>
      <c r="G23" s="35" t="inlineStr"/>
      <c r="H23" s="35" t="inlineStr"/>
      <c r="I23" s="38" t="inlineStr">
        <is>
          <t>10. As required by the Companies (Auditor’s Report) Order, 2016, issued by the Central Government of India in terms | of sub-section (11) of section 143 of the Act (“the Order”), and on the basis of such checks of the books and records</t>
        </is>
      </c>
    </row>
    <row r="24">
      <c r="A24" s="39" t="n">
        <v>23</v>
      </c>
      <c r="B24" s="40" t="inlineStr">
        <is>
          <t>RAJESH EXPORTS LIMITED</t>
        </is>
      </c>
      <c r="C24" s="39" t="inlineStr"/>
      <c r="D24" s="41" t="inlineStr"/>
      <c r="E24" s="41" t="inlineStr"/>
      <c r="F24" s="39" t="n">
        <v>0</v>
      </c>
      <c r="G24" s="39" t="inlineStr">
        <is>
          <t>Yes</t>
        </is>
      </c>
      <c r="H24" s="39" t="inlineStr"/>
      <c r="I24" s="42" t="inlineStr">
        <is>
          <t>RAJESH EXPORTS LIMITED</t>
        </is>
      </c>
    </row>
    <row r="25">
      <c r="A25" s="35" t="n">
        <v>24</v>
      </c>
      <c r="B25" s="36" t="inlineStr">
        <is>
          <t>11. As required by Section 143(3) of the Act ,We report that : a) We have sought and obtained all the information and explanation which to best of our knowledge and belief were necessary for the purpose of our audit. b) In our opinion, proper books of account as required by law have been kept by the Company so far as it appears from our examination of those books. c) The Balance Sheet, the Statement of Profit and Loss (including other comprehensive income), the Cash Flow</t>
        </is>
      </c>
      <c r="C25" s="35" t="inlineStr"/>
      <c r="D25" s="37" t="inlineStr"/>
      <c r="E25" s="37" t="inlineStr"/>
      <c r="F25" s="35" t="n">
        <v>0</v>
      </c>
      <c r="G25" s="35" t="inlineStr"/>
      <c r="H25" s="35" t="inlineStr"/>
      <c r="I25" s="38" t="inlineStr">
        <is>
          <t>11. As required by Section 143(3) of the Act ,We report that : | a) We have sought and obtained all the information and explanation which to best of our knowledge and belief</t>
        </is>
      </c>
    </row>
    <row r="26">
      <c r="A26" s="35" t="n">
        <v>25</v>
      </c>
      <c r="B26" s="36" t="inlineStr">
        <is>
          <t>Statement and the Statement of Changes in Equity dealt with by this Report are in agreement with the books of account. d) In our opinion, aforesaid standalone Ind AS Financial statement complies with Indian accounting statement specified under section 133 of the Act. e) On basis of the written representations received from the directors as on March 31, 2018 taken on record by the Board of Directors, none of the directors are disqualified as on March 31, 2018 from being appointed as a director in terms of Section 164 (2) of the Act. f) With respect to the adequacy of the internal financial controls with reference to financial statements of the</t>
        </is>
      </c>
      <c r="C26" s="35" t="inlineStr"/>
      <c r="D26" s="37" t="inlineStr"/>
      <c r="E26" s="37" t="inlineStr"/>
      <c r="F26" s="35" t="n">
        <v>0</v>
      </c>
      <c r="G26" s="35" t="inlineStr"/>
      <c r="H26" s="35" t="inlineStr"/>
      <c r="I26" s="38" t="inlineStr">
        <is>
          <t>Statement and the Statement of Changes in Equity dealt with by this Report are in agreement with the books | of account.</t>
        </is>
      </c>
    </row>
    <row r="27">
      <c r="A27" s="35" t="n">
        <v>26</v>
      </c>
      <c r="B27" s="36" t="inlineStr">
        <is>
          <t>Company and the operating effectiveness of such controls, refer to our separate Report in Annexure A g) With respect to the other matters to be included in the Auditors’ Report in accordance with Rule 11 of the</t>
        </is>
      </c>
      <c r="C27" s="35" t="inlineStr"/>
      <c r="D27" s="37" t="inlineStr"/>
      <c r="E27" s="37" t="inlineStr"/>
      <c r="F27" s="35" t="n">
        <v>0</v>
      </c>
      <c r="G27" s="35" t="inlineStr"/>
      <c r="H27" s="35" t="inlineStr"/>
      <c r="I27" s="38" t="inlineStr">
        <is>
          <t>Company and the operating effectiveness of such controls, refer to our separate Report in Annexure A | g) With respect to the other matters to be included in the Auditors’ Report in accordance with Rule 11 of the</t>
        </is>
      </c>
    </row>
    <row r="28">
      <c r="A28" s="35" t="n">
        <v>27</v>
      </c>
      <c r="B28" s="36" t="inlineStr">
        <is>
          <t>Companies (Audit and Auditors) Rules, 2014, in our opinion and to the best of our knowledge and belief and according to the information and explanations given to us</t>
        </is>
      </c>
      <c r="C28" s="35" t="inlineStr"/>
      <c r="D28" s="37" t="inlineStr"/>
      <c r="E28" s="37" t="inlineStr"/>
      <c r="F28" s="35" t="n">
        <v>0</v>
      </c>
      <c r="G28" s="35" t="inlineStr"/>
      <c r="H28" s="35" t="inlineStr"/>
      <c r="I28" s="38" t="inlineStr">
        <is>
          <t>Companies (Audit and Auditors) Rules, 2014, in our opinion and to the best of our knowledge and belief and | according to the information and explanations given to us</t>
        </is>
      </c>
    </row>
    <row r="29">
      <c r="A29" s="35" t="n">
        <v>28</v>
      </c>
      <c r="B29" s="36" t="inlineStr">
        <is>
          <t>I. The Company has disclosed the impact, if any, of pending litigations as at March 31, 2018 on its financial position in its standalone Ind AS financial statements. (Refer Note No. 25)</t>
        </is>
      </c>
      <c r="C29" s="35" t="inlineStr"/>
      <c r="D29" s="37" t="inlineStr"/>
      <c r="E29" s="37" t="inlineStr"/>
      <c r="F29" s="35" t="n">
        <v>0</v>
      </c>
      <c r="G29" s="35" t="inlineStr"/>
      <c r="H29" s="35" t="inlineStr"/>
      <c r="I29" s="38" t="inlineStr">
        <is>
          <t>I. The Company has disclosed the impact, if any, of pending litigations as at March 31, 2018 on its financial | position in its standalone Ind AS financial statements. (Refer Note No. 25)</t>
        </is>
      </c>
    </row>
    <row r="30">
      <c r="A30" s="35" t="n">
        <v>29</v>
      </c>
      <c r="B30" s="36" t="inlineStr">
        <is>
          <t>II. Company did not have any derivative contracts as at March 31st</t>
        </is>
      </c>
      <c r="C30" s="35" t="inlineStr"/>
      <c r="D30" s="37" t="inlineStr">
        <is>
          <t>2018</t>
        </is>
      </c>
      <c r="E30" s="37" t="inlineStr"/>
      <c r="F30" s="35" t="n">
        <v>0</v>
      </c>
      <c r="G30" s="35" t="inlineStr"/>
      <c r="H30" s="35" t="inlineStr"/>
      <c r="I30" s="38" t="inlineStr">
        <is>
          <t>II. Company did not have any derivative contracts as at March 31st 2018</t>
        </is>
      </c>
    </row>
    <row r="31">
      <c r="A31" s="35" t="n">
        <v>30</v>
      </c>
      <c r="B31" s="36" t="inlineStr">
        <is>
          <t>III. The unpaid dividend amount to be transferred to investor education and protection fund for the year</t>
        </is>
      </c>
      <c r="C31" s="35" t="inlineStr"/>
      <c r="D31" s="37" t="inlineStr"/>
      <c r="E31" s="37" t="inlineStr"/>
      <c r="F31" s="35" t="n">
        <v>0</v>
      </c>
      <c r="G31" s="35" t="inlineStr"/>
      <c r="H31" s="35" t="inlineStr"/>
      <c r="I31" s="38" t="inlineStr">
        <is>
          <t>III. The unpaid dividend amount to be transferred to investor education and protection fund for the year</t>
        </is>
      </c>
    </row>
    <row r="32">
      <c r="A32" s="35" t="n">
        <v>31</v>
      </c>
      <c r="B32" s="36" t="inlineStr">
        <is>
          <t>2009-10 has been paid later than the required date of payment. (Refer Note No. 25)</t>
        </is>
      </c>
      <c r="C32" s="35" t="inlineStr"/>
      <c r="D32" s="37" t="inlineStr"/>
      <c r="E32" s="37" t="inlineStr"/>
      <c r="F32" s="35" t="n">
        <v>0</v>
      </c>
      <c r="G32" s="35" t="inlineStr"/>
      <c r="H32" s="35" t="inlineStr"/>
      <c r="I32" s="38" t="inlineStr">
        <is>
          <t>2009-10 has been paid later than the required date of payment. (Refer Note No. 25)</t>
        </is>
      </c>
    </row>
    <row r="33">
      <c r="A33" s="35" t="n">
        <v>32</v>
      </c>
      <c r="B33" s="36" t="inlineStr">
        <is>
          <t>IV. Reporting on Disclosures relating to specified bank notes not applicable to the company for the year ended</t>
        </is>
      </c>
      <c r="C33" s="35" t="inlineStr"/>
      <c r="D33" s="37" t="inlineStr"/>
      <c r="E33" s="37" t="inlineStr"/>
      <c r="F33" s="35" t="n">
        <v>0</v>
      </c>
      <c r="G33" s="35" t="inlineStr"/>
      <c r="H33" s="35" t="inlineStr"/>
      <c r="I33" s="38" t="inlineStr">
        <is>
          <t>IV. Reporting on Disclosures relating to specified bank notes not applicable to the company for the year ended</t>
        </is>
      </c>
    </row>
    <row r="34">
      <c r="A34" s="35" t="n">
        <v>33</v>
      </c>
      <c r="B34" s="36" t="inlineStr">
        <is>
          <t>March 31, For P V RAMANA REDDY &amp; CO Firm Regn. No. 007156S</t>
        </is>
      </c>
      <c r="C34" s="35" t="inlineStr">
        <is>
          <t>31</t>
        </is>
      </c>
      <c r="D34" s="37" t="inlineStr">
        <is>
          <t>2018</t>
        </is>
      </c>
      <c r="E34" s="37" t="inlineStr"/>
      <c r="F34" s="35" t="n">
        <v>0</v>
      </c>
      <c r="G34" s="35" t="inlineStr"/>
      <c r="H34" s="35" t="inlineStr"/>
      <c r="I34" s="38" t="inlineStr">
        <is>
          <t>March 31, 2018 | For P V RAMANA REDDY &amp; CO</t>
        </is>
      </c>
    </row>
    <row r="35">
      <c r="A35" s="35" t="n">
        <v>34</v>
      </c>
      <c r="B35" s="36" t="inlineStr">
        <is>
          <t>Sd/- Date : May 30, 2018 Proprietor</t>
        </is>
      </c>
      <c r="C35" s="35" t="inlineStr"/>
      <c r="D35" s="37" t="inlineStr"/>
      <c r="E35" s="37" t="inlineStr"/>
      <c r="F35" s="35" t="n">
        <v>0</v>
      </c>
      <c r="G35" s="35" t="inlineStr"/>
      <c r="H35" s="35" t="inlineStr"/>
      <c r="I35" s="38" t="inlineStr">
        <is>
          <t>Sd/- | Date : May 30, 2018 Proprietor</t>
        </is>
      </c>
    </row>
    <row r="36">
      <c r="A36" s="35" t="n">
        <v>35</v>
      </c>
      <c r="B36" s="36" t="inlineStr">
        <is>
          <t>M.No.</t>
        </is>
      </c>
      <c r="C36" s="35" t="inlineStr"/>
      <c r="D36" s="37" t="inlineStr">
        <is>
          <t>204588</t>
        </is>
      </c>
      <c r="E36" s="37" t="inlineStr"/>
      <c r="F36" s="35" t="n">
        <v>0</v>
      </c>
      <c r="G36" s="35" t="inlineStr"/>
      <c r="H36" s="35" t="inlineStr"/>
      <c r="I36" s="38" t="inlineStr">
        <is>
          <t>M.No. 204588</t>
        </is>
      </c>
    </row>
    <row r="37">
      <c r="A37" s="39" t="n">
        <v>36</v>
      </c>
      <c r="B37" s="40" t="inlineStr">
        <is>
          <t>ANNEXURE A TO INDEPENDENT AUDITORS’ REPORT</t>
        </is>
      </c>
      <c r="C37" s="39" t="inlineStr"/>
      <c r="D37" s="41" t="inlineStr"/>
      <c r="E37" s="41" t="inlineStr"/>
      <c r="F37" s="39" t="n">
        <v>0</v>
      </c>
      <c r="G37" s="39" t="inlineStr">
        <is>
          <t>Yes</t>
        </is>
      </c>
      <c r="H37" s="39" t="inlineStr"/>
      <c r="I37" s="42" t="inlineStr">
        <is>
          <t>ANNEXURE A TO INDEPENDENT AUDITORS’ REPORT</t>
        </is>
      </c>
    </row>
    <row r="38">
      <c r="A38" s="35" t="n">
        <v>37</v>
      </c>
      <c r="B38" s="36" t="inlineStr">
        <is>
          <t>Referred to in paragraph 11(f) of the Independent Auditors’ Report of even date to the members of</t>
        </is>
      </c>
      <c r="C38" s="35" t="inlineStr"/>
      <c r="D38" s="37" t="inlineStr"/>
      <c r="E38" s="37" t="inlineStr"/>
      <c r="F38" s="35" t="n">
        <v>0</v>
      </c>
      <c r="G38" s="35" t="inlineStr"/>
      <c r="H38" s="35" t="inlineStr"/>
      <c r="I38" s="38" t="inlineStr">
        <is>
          <t>Referred to in paragraph 11(f) of the Independent Auditors’ Report of even date to the members of</t>
        </is>
      </c>
    </row>
    <row r="39">
      <c r="A39" s="35" t="n">
        <v>38</v>
      </c>
      <c r="B39" s="36" t="inlineStr">
        <is>
          <t>Rajesh Exports Limited on the standalone financial statements for the year ended March 31,</t>
        </is>
      </c>
      <c r="C39" s="35" t="inlineStr">
        <is>
          <t>31</t>
        </is>
      </c>
      <c r="D39" s="37" t="inlineStr">
        <is>
          <t>2018</t>
        </is>
      </c>
      <c r="E39" s="37" t="inlineStr"/>
      <c r="F39" s="35" t="n">
        <v>0</v>
      </c>
      <c r="G39" s="35" t="inlineStr"/>
      <c r="H39" s="35" t="inlineStr"/>
      <c r="I39" s="38" t="inlineStr">
        <is>
          <t>Rajesh Exports Limited on the standalone financial statements for the year ended March 31, 2018</t>
        </is>
      </c>
    </row>
    <row r="40">
      <c r="A40" s="35" t="n">
        <v>39</v>
      </c>
      <c r="B40" s="36" t="inlineStr">
        <is>
          <t>Reports of the Internal Financial controls under Clause (i) of sub section 3 of section 143 of the Act</t>
        </is>
      </c>
      <c r="C40" s="35" t="inlineStr"/>
      <c r="D40" s="37" t="inlineStr"/>
      <c r="E40" s="37" t="inlineStr"/>
      <c r="F40" s="35" t="n">
        <v>0</v>
      </c>
      <c r="G40" s="35" t="inlineStr"/>
      <c r="H40" s="35" t="inlineStr"/>
      <c r="I40" s="38" t="inlineStr">
        <is>
          <t>Reports of the Internal Financial controls under Clause (i) of sub section 3 of section 143 of the Act</t>
        </is>
      </c>
    </row>
    <row r="41">
      <c r="A41" s="35" t="n">
        <v>40</v>
      </c>
      <c r="B41" s="36" t="inlineStr">
        <is>
          <t>1. We have audited the internal financial controls over financial reporting of Rajesh Exports</t>
        </is>
      </c>
      <c r="C41" s="35" t="inlineStr"/>
      <c r="D41" s="37" t="inlineStr"/>
      <c r="E41" s="37" t="inlineStr"/>
      <c r="F41" s="35" t="n">
        <v>0</v>
      </c>
      <c r="G41" s="35" t="inlineStr"/>
      <c r="H41" s="35" t="inlineStr"/>
      <c r="I41" s="38" t="inlineStr">
        <is>
          <t>1. We have audited the internal financial controls over financial reporting of Rajesh Exports</t>
        </is>
      </c>
    </row>
    <row r="42">
      <c r="A42" s="35" t="n">
        <v>41</v>
      </c>
      <c r="B42" s="36" t="inlineStr">
        <is>
          <t>Limited (the Company’’) as of March 31, 2018 in conjunction with our audit of the standalone financial statement of the company for the year ended on the date.</t>
        </is>
      </c>
      <c r="C42" s="35" t="inlineStr"/>
      <c r="D42" s="37" t="inlineStr"/>
      <c r="E42" s="37" t="inlineStr"/>
      <c r="F42" s="35" t="n">
        <v>0</v>
      </c>
      <c r="G42" s="35" t="inlineStr"/>
      <c r="H42" s="35" t="inlineStr"/>
      <c r="I42" s="38" t="inlineStr">
        <is>
          <t>Limited (the Company’’) as of March 31, 2018 in conjunction with our audit of the standalone | financial statement of the company for the year ended on the date.</t>
        </is>
      </c>
    </row>
    <row r="43">
      <c r="A43" s="35" t="n">
        <v>42</v>
      </c>
      <c r="B43" s="36" t="inlineStr">
        <is>
          <t>Management’s Responsibility for Internal Financial Controls:</t>
        </is>
      </c>
      <c r="C43" s="35" t="inlineStr"/>
      <c r="D43" s="37" t="inlineStr"/>
      <c r="E43" s="37" t="inlineStr"/>
      <c r="F43" s="35" t="n">
        <v>0</v>
      </c>
      <c r="G43" s="35" t="inlineStr"/>
      <c r="H43" s="35" t="inlineStr"/>
      <c r="I43" s="38" t="inlineStr">
        <is>
          <t>Management’s Responsibility for Internal Financial Controls:</t>
        </is>
      </c>
    </row>
    <row r="44">
      <c r="A44" s="35" t="n">
        <v>43</v>
      </c>
      <c r="B44" s="36" t="inlineStr">
        <is>
          <t>2. The Company’s management is responsible for establishing and maintaining internal financial controls based on the internal control over financial reporting criteria established by the Company, considering the essential components of internal control stated in the Guidance Note on Audit of Internal Financial</t>
        </is>
      </c>
      <c r="C44" s="35" t="inlineStr"/>
      <c r="D44" s="37" t="inlineStr"/>
      <c r="E44" s="37" t="inlineStr"/>
      <c r="F44" s="35" t="n">
        <v>0</v>
      </c>
      <c r="G44" s="35" t="inlineStr"/>
      <c r="H44" s="35" t="inlineStr"/>
      <c r="I44" s="38" t="inlineStr">
        <is>
          <t>2. The Company’s management is responsible for establishing and maintaining internal financial controls | based on the internal control over financial reporting criteria established by the Company, considering</t>
        </is>
      </c>
    </row>
    <row r="45">
      <c r="A45" s="35" t="n">
        <v>44</v>
      </c>
      <c r="B45" s="36" t="inlineStr">
        <is>
          <t>These responsibilities include the design, implementation and maintenance of adequate internal financial controls that were operating effectively for ensuring the orderly and efficient conduct of its business, including adherence to company’s policies, the safeguarding of its assets, the prevention and detection of frauds and errors, the accuracy and completeness of the accounting records, and the timely preparation of reliable financial information, as required under the Act.</t>
        </is>
      </c>
      <c r="C45" s="35" t="inlineStr"/>
      <c r="D45" s="37" t="inlineStr"/>
      <c r="E45" s="37" t="inlineStr"/>
      <c r="F45" s="35" t="n">
        <v>0</v>
      </c>
      <c r="G45" s="35" t="inlineStr"/>
      <c r="H45" s="35" t="inlineStr"/>
      <c r="I45" s="38" t="inlineStr">
        <is>
          <t>These responsibilities include the design, implementation and maintenance of adequate internal financial | controls that were operating effectively for ensuring the orderly and efficient conduct of its business,</t>
        </is>
      </c>
    </row>
    <row r="46">
      <c r="A46" s="35" t="n">
        <v>45</v>
      </c>
      <c r="B46" s="36" t="inlineStr">
        <is>
          <t>Auditor Responsibility:</t>
        </is>
      </c>
      <c r="C46" s="35" t="inlineStr"/>
      <c r="D46" s="37" t="inlineStr"/>
      <c r="E46" s="37" t="inlineStr"/>
      <c r="F46" s="35" t="n">
        <v>0</v>
      </c>
      <c r="G46" s="35" t="inlineStr"/>
      <c r="H46" s="35" t="inlineStr"/>
      <c r="I46" s="38" t="inlineStr">
        <is>
          <t>Auditor Responsibility:</t>
        </is>
      </c>
    </row>
    <row r="47">
      <c r="A47" s="35" t="n">
        <v>46</v>
      </c>
      <c r="B47" s="36" t="inlineStr">
        <is>
          <t>3. Our responsibility is to express an opinion on the Company’s internal financial controls over financial reporting based on our audit. We conducted our audit in accordance with the Guidance Note on Audit of Internal Financial Controls Over Financial Reporting (the “Guidance Note”) and the Standards on</t>
        </is>
      </c>
      <c r="C47" s="35" t="inlineStr"/>
      <c r="D47" s="37" t="inlineStr"/>
      <c r="E47" s="37" t="inlineStr"/>
      <c r="F47" s="35" t="n">
        <v>0</v>
      </c>
      <c r="G47" s="35" t="inlineStr"/>
      <c r="H47" s="35" t="inlineStr"/>
      <c r="I47" s="38" t="inlineStr">
        <is>
          <t>3. Our responsibility is to express an opinion on the Company’s internal financial controls over financial | reporting based on our audit. We conducted our audit in accordance with the Guidance Note on Audit</t>
        </is>
      </c>
    </row>
    <row r="48">
      <c r="A48" s="35" t="n">
        <v>47</v>
      </c>
      <c r="B48" s="36" t="inlineStr">
        <is>
          <t>Auditing deemed to be prescribed under section 143(10) of the Act to the extent applicable to an audit of internal financial controls, applicable to an audit of internal financial controls and both issued by the</t>
        </is>
      </c>
      <c r="C48" s="35" t="inlineStr"/>
      <c r="D48" s="37" t="inlineStr"/>
      <c r="E48" s="37" t="inlineStr"/>
      <c r="F48" s="35" t="n">
        <v>0</v>
      </c>
      <c r="G48" s="35" t="inlineStr"/>
      <c r="H48" s="35" t="inlineStr"/>
      <c r="I48" s="38" t="inlineStr">
        <is>
          <t>Auditing deemed to be prescribed under section 143(10) of the Act to the extent applicable to an audit | of internal financial controls, applicable to an audit of internal financial controls and both issued by the</t>
        </is>
      </c>
    </row>
    <row r="49">
      <c r="A49" s="39" t="n">
        <v>48</v>
      </c>
      <c r="B49" s="40" t="inlineStr">
        <is>
          <t>RAJESH EXPORTS LIMITED</t>
        </is>
      </c>
      <c r="C49" s="39" t="inlineStr"/>
      <c r="D49" s="41" t="inlineStr"/>
      <c r="E49" s="41" t="inlineStr"/>
      <c r="F49" s="39" t="n">
        <v>0</v>
      </c>
      <c r="G49" s="39" t="inlineStr">
        <is>
          <t>Yes</t>
        </is>
      </c>
      <c r="H49" s="39" t="inlineStr"/>
      <c r="I49" s="42" t="inlineStr">
        <is>
          <t>RAJESH EXPORTS LIMITED</t>
        </is>
      </c>
    </row>
    <row r="50">
      <c r="A50" s="35" t="n">
        <v>49</v>
      </c>
      <c r="B50" s="36" t="inlineStr">
        <is>
          <t>STANDALONE BALANCE SHEET AS AT MARCH 31, (Rs. in lakhs)</t>
        </is>
      </c>
      <c r="C50" s="35" t="inlineStr">
        <is>
          <t>31</t>
        </is>
      </c>
      <c r="D50" s="37" t="inlineStr">
        <is>
          <t>2018</t>
        </is>
      </c>
      <c r="E50" s="37" t="inlineStr"/>
      <c r="F50" s="35" t="n">
        <v>0</v>
      </c>
      <c r="G50" s="35" t="inlineStr"/>
      <c r="H50" s="35" t="inlineStr"/>
      <c r="I50" s="38" t="inlineStr">
        <is>
          <t>STANDALONE BALANCE SHEET AS AT MARCH 31, 2018 | (Rs. in lakhs)</t>
        </is>
      </c>
    </row>
    <row r="51">
      <c r="A51" s="35" t="n">
        <v>50</v>
      </c>
      <c r="B51" s="36" t="inlineStr">
        <is>
          <t>Note No As on 31.03.2018 As on 31.03.2017</t>
        </is>
      </c>
      <c r="C51" s="35" t="inlineStr"/>
      <c r="D51" s="37" t="inlineStr"/>
      <c r="E51" s="37" t="inlineStr"/>
      <c r="F51" s="35" t="n">
        <v>0</v>
      </c>
      <c r="G51" s="35" t="inlineStr"/>
      <c r="H51" s="35" t="inlineStr"/>
      <c r="I51" s="38" t="inlineStr">
        <is>
          <t>Note No As on 31.03.2018 As on 31.03.2017</t>
        </is>
      </c>
    </row>
    <row r="52">
      <c r="A52" s="39" t="n">
        <v>51</v>
      </c>
      <c r="B52" s="40" t="inlineStr">
        <is>
          <t>ASSETS</t>
        </is>
      </c>
      <c r="C52" s="39" t="inlineStr"/>
      <c r="D52" s="41" t="inlineStr"/>
      <c r="E52" s="41" t="inlineStr"/>
      <c r="F52" s="39" t="n">
        <v>0</v>
      </c>
      <c r="G52" s="39" t="inlineStr">
        <is>
          <t>Yes</t>
        </is>
      </c>
      <c r="H52" s="39" t="inlineStr"/>
      <c r="I52" s="42" t="inlineStr">
        <is>
          <t>ASSETS</t>
        </is>
      </c>
    </row>
    <row r="53">
      <c r="A53" s="39" t="n">
        <v>52</v>
      </c>
      <c r="B53" s="40" t="inlineStr">
        <is>
          <t>Non-Current Assets Property, plant &amp; equipment</t>
        </is>
      </c>
      <c r="C53" s="39" t="inlineStr"/>
      <c r="D53" s="41" t="inlineStr"/>
      <c r="E53" s="41" t="inlineStr"/>
      <c r="F53" s="39" t="n">
        <v>0</v>
      </c>
      <c r="G53" s="39" t="inlineStr">
        <is>
          <t>Yes</t>
        </is>
      </c>
      <c r="H53" s="39" t="inlineStr"/>
      <c r="I53" s="42" t="inlineStr">
        <is>
          <t>Non-Current Assets | Property, plant &amp; equipment</t>
        </is>
      </c>
    </row>
    <row r="54">
      <c r="A54" s="35" t="n">
        <v>53</v>
      </c>
      <c r="B54" s="43" t="inlineStr">
        <is>
          <t xml:space="preserve">  (i) Tangible Assets 2</t>
        </is>
      </c>
      <c r="C54" s="35" t="inlineStr">
        <is>
          <t>2</t>
        </is>
      </c>
      <c r="D54" s="37" t="inlineStr">
        <is>
          <t>6,527.97</t>
        </is>
      </c>
      <c r="E54" s="37" t="inlineStr">
        <is>
          <t>6,643.50</t>
        </is>
      </c>
      <c r="F54" s="35" t="n">
        <v>1</v>
      </c>
      <c r="G54" s="35" t="inlineStr"/>
      <c r="H54" s="35" t="inlineStr"/>
      <c r="I54" s="38" t="inlineStr">
        <is>
          <t>(i) Tangible Assets 2 6,527.97 6,643.50</t>
        </is>
      </c>
    </row>
    <row r="55">
      <c r="A55" s="35" t="n">
        <v>54</v>
      </c>
      <c r="B55" s="43" t="inlineStr">
        <is>
          <t xml:space="preserve">  (ii) Intangible Assets 2</t>
        </is>
      </c>
      <c r="C55" s="35" t="inlineStr">
        <is>
          <t>2</t>
        </is>
      </c>
      <c r="D55" s="37" t="inlineStr">
        <is>
          <t>0.34</t>
        </is>
      </c>
      <c r="E55" s="37" t="inlineStr">
        <is>
          <t>0.34</t>
        </is>
      </c>
      <c r="F55" s="35" t="n">
        <v>1</v>
      </c>
      <c r="G55" s="35" t="inlineStr"/>
      <c r="H55" s="35" t="inlineStr"/>
      <c r="I55" s="38" t="inlineStr">
        <is>
          <t>(ii) Intangible Assets 2 0.34 0.34</t>
        </is>
      </c>
    </row>
    <row r="56">
      <c r="A56" s="35" t="n">
        <v>55</v>
      </c>
      <c r="B56" s="43" t="inlineStr">
        <is>
          <t xml:space="preserve">  (iii) Capital Work-in-Progress 2</t>
        </is>
      </c>
      <c r="C56" s="35" t="inlineStr">
        <is>
          <t>2</t>
        </is>
      </c>
      <c r="D56" s="37" t="inlineStr">
        <is>
          <t>186.40</t>
        </is>
      </c>
      <c r="E56" s="37" t="inlineStr">
        <is>
          <t>122.04</t>
        </is>
      </c>
      <c r="F56" s="35" t="n">
        <v>1</v>
      </c>
      <c r="G56" s="35" t="inlineStr"/>
      <c r="H56" s="35" t="inlineStr"/>
      <c r="I56" s="38" t="inlineStr">
        <is>
          <t>(iii) Capital Work-in-Progress 2 186.40 122.04</t>
        </is>
      </c>
    </row>
    <row r="57">
      <c r="A57" s="35" t="n">
        <v>56</v>
      </c>
      <c r="B57" s="36" t="inlineStr">
        <is>
          <t>Non-Current Investments 3</t>
        </is>
      </c>
      <c r="C57" s="35" t="inlineStr">
        <is>
          <t>3</t>
        </is>
      </c>
      <c r="D57" s="37" t="inlineStr">
        <is>
          <t>71,953.48</t>
        </is>
      </c>
      <c r="E57" s="37" t="inlineStr">
        <is>
          <t>73,151.62</t>
        </is>
      </c>
      <c r="F57" s="35" t="n">
        <v>0</v>
      </c>
      <c r="G57" s="35" t="inlineStr"/>
      <c r="H57" s="35" t="inlineStr"/>
      <c r="I57" s="38" t="inlineStr">
        <is>
          <t>Non-Current Investments 3 71,953.48 73,151.62</t>
        </is>
      </c>
    </row>
    <row r="58">
      <c r="A58" s="35" t="n">
        <v>57</v>
      </c>
      <c r="B58" s="36" t="inlineStr">
        <is>
          <t>Long - Term Loans and Advances 4</t>
        </is>
      </c>
      <c r="C58" s="35" t="inlineStr">
        <is>
          <t>4</t>
        </is>
      </c>
      <c r="D58" s="37" t="inlineStr">
        <is>
          <t>191,872.03</t>
        </is>
      </c>
      <c r="E58" s="37" t="inlineStr">
        <is>
          <t>191,931.76</t>
        </is>
      </c>
      <c r="F58" s="35" t="n">
        <v>0</v>
      </c>
      <c r="G58" s="35" t="inlineStr"/>
      <c r="H58" s="35" t="inlineStr"/>
      <c r="I58" s="38" t="inlineStr">
        <is>
          <t>Long - Term Loans and Advances 4 191,872.03 191,931.76</t>
        </is>
      </c>
    </row>
    <row r="59">
      <c r="A59" s="39" t="n">
        <v>58</v>
      </c>
      <c r="B59" s="40" t="inlineStr">
        <is>
          <t>Current Assets</t>
        </is>
      </c>
      <c r="C59" s="39" t="inlineStr"/>
      <c r="D59" s="41" t="inlineStr"/>
      <c r="E59" s="41" t="inlineStr"/>
      <c r="F59" s="39" t="n">
        <v>0</v>
      </c>
      <c r="G59" s="39" t="inlineStr">
        <is>
          <t>Yes</t>
        </is>
      </c>
      <c r="H59" s="39" t="inlineStr"/>
      <c r="I59" s="42" t="inlineStr">
        <is>
          <t>Current Assets</t>
        </is>
      </c>
    </row>
    <row r="60">
      <c r="A60" s="35" t="n">
        <v>59</v>
      </c>
      <c r="B60" s="36" t="inlineStr">
        <is>
          <t>Inventories 5</t>
        </is>
      </c>
      <c r="C60" s="35" t="inlineStr">
        <is>
          <t>5</t>
        </is>
      </c>
      <c r="D60" s="37" t="inlineStr">
        <is>
          <t>105,084.15</t>
        </is>
      </c>
      <c r="E60" s="37" t="inlineStr">
        <is>
          <t>53,172.45</t>
        </is>
      </c>
      <c r="F60" s="35" t="n">
        <v>0</v>
      </c>
      <c r="G60" s="35" t="inlineStr"/>
      <c r="H60" s="35" t="inlineStr"/>
      <c r="I60" s="38" t="inlineStr">
        <is>
          <t>Inventories 5 105,084.15 53,172.45</t>
        </is>
      </c>
    </row>
    <row r="61">
      <c r="A61" s="35" t="n">
        <v>60</v>
      </c>
      <c r="B61" s="36" t="inlineStr">
        <is>
          <t>Trade Receivables 6</t>
        </is>
      </c>
      <c r="C61" s="35" t="inlineStr">
        <is>
          <t>6</t>
        </is>
      </c>
      <c r="D61" s="37" t="inlineStr">
        <is>
          <t>159,690.91</t>
        </is>
      </c>
      <c r="E61" s="37" t="inlineStr">
        <is>
          <t>334,480.13</t>
        </is>
      </c>
      <c r="F61" s="35" t="n">
        <v>0</v>
      </c>
      <c r="G61" s="35" t="inlineStr"/>
      <c r="H61" s="35" t="inlineStr"/>
      <c r="I61" s="38" t="inlineStr">
        <is>
          <t>Trade Receivables 6 159,690.91 334,480.13</t>
        </is>
      </c>
    </row>
    <row r="62">
      <c r="A62" s="35" t="n">
        <v>61</v>
      </c>
      <c r="B62" s="36" t="inlineStr">
        <is>
          <t>Cash and Cash Equivalents 7</t>
        </is>
      </c>
      <c r="C62" s="35" t="inlineStr">
        <is>
          <t>7</t>
        </is>
      </c>
      <c r="D62" s="37" t="inlineStr">
        <is>
          <t>1,362,599.26</t>
        </is>
      </c>
      <c r="E62" s="37" t="inlineStr">
        <is>
          <t>1,377,408.96</t>
        </is>
      </c>
      <c r="F62" s="35" t="n">
        <v>0</v>
      </c>
      <c r="G62" s="35" t="inlineStr"/>
      <c r="H62" s="35" t="inlineStr"/>
      <c r="I62" s="38" t="inlineStr">
        <is>
          <t>Cash and Cash Equivalents 7 1,362,599.26 1,377,408.96</t>
        </is>
      </c>
    </row>
    <row r="63">
      <c r="A63" s="35" t="n">
        <v>62</v>
      </c>
      <c r="B63" s="36" t="inlineStr">
        <is>
          <t>Short- Term Loans and Advances 8</t>
        </is>
      </c>
      <c r="C63" s="35" t="inlineStr">
        <is>
          <t>8</t>
        </is>
      </c>
      <c r="D63" s="37" t="inlineStr">
        <is>
          <t>43,177.44</t>
        </is>
      </c>
      <c r="E63" s="37" t="inlineStr">
        <is>
          <t>34,371.99</t>
        </is>
      </c>
      <c r="F63" s="35" t="n">
        <v>0</v>
      </c>
      <c r="G63" s="35" t="inlineStr"/>
      <c r="H63" s="35" t="inlineStr"/>
      <c r="I63" s="38" t="inlineStr">
        <is>
          <t>Short- Term Loans and Advances 8 43,177.44 34,371.99</t>
        </is>
      </c>
    </row>
    <row r="64">
      <c r="A64" s="35" t="n">
        <v>63</v>
      </c>
      <c r="B64" s="36" t="inlineStr">
        <is>
          <t>Other Current Assets 9</t>
        </is>
      </c>
      <c r="C64" s="35" t="inlineStr">
        <is>
          <t>9</t>
        </is>
      </c>
      <c r="D64" s="37" t="inlineStr">
        <is>
          <t>51,846.28</t>
        </is>
      </c>
      <c r="E64" s="37" t="inlineStr">
        <is>
          <t>48,618.18</t>
        </is>
      </c>
      <c r="F64" s="35" t="n">
        <v>0</v>
      </c>
      <c r="G64" s="35" t="inlineStr"/>
      <c r="H64" s="35" t="inlineStr"/>
      <c r="I64" s="38" t="inlineStr">
        <is>
          <t>Other Current Assets 9 51,846.28 48,618.18</t>
        </is>
      </c>
    </row>
    <row r="65">
      <c r="A65" s="44" t="n">
        <v>64</v>
      </c>
      <c r="B65" s="45" t="inlineStr">
        <is>
          <t>TOTAL</t>
        </is>
      </c>
      <c r="C65" s="44" t="inlineStr"/>
      <c r="D65" s="46" t="inlineStr">
        <is>
          <t>1,992,938.26</t>
        </is>
      </c>
      <c r="E65" s="46" t="inlineStr">
        <is>
          <t>2,119,900.97</t>
        </is>
      </c>
      <c r="F65" s="44" t="n">
        <v>0</v>
      </c>
      <c r="G65" s="44" t="inlineStr"/>
      <c r="H65" s="44" t="inlineStr">
        <is>
          <t>Yes</t>
        </is>
      </c>
      <c r="I65" s="47" t="inlineStr">
        <is>
          <t>TOTAL 1,992,938.26 2,119,900.97</t>
        </is>
      </c>
    </row>
    <row r="66">
      <c r="A66" s="39" t="n">
        <v>65</v>
      </c>
      <c r="B66" s="40" t="inlineStr">
        <is>
          <t>EQUITY AND LIABILITIES</t>
        </is>
      </c>
      <c r="C66" s="39" t="inlineStr"/>
      <c r="D66" s="41" t="inlineStr"/>
      <c r="E66" s="41" t="inlineStr"/>
      <c r="F66" s="39" t="n">
        <v>0</v>
      </c>
      <c r="G66" s="39" t="inlineStr">
        <is>
          <t>Yes</t>
        </is>
      </c>
      <c r="H66" s="39" t="inlineStr"/>
      <c r="I66" s="42" t="inlineStr">
        <is>
          <t>EQUITY AND LIABILITIES</t>
        </is>
      </c>
    </row>
    <row r="67">
      <c r="A67" s="35" t="n">
        <v>66</v>
      </c>
      <c r="B67" s="36" t="inlineStr">
        <is>
          <t>Shareholder’s Fund</t>
        </is>
      </c>
      <c r="C67" s="35" t="inlineStr"/>
      <c r="D67" s="37" t="inlineStr"/>
      <c r="E67" s="37" t="inlineStr"/>
      <c r="F67" s="35" t="n">
        <v>0</v>
      </c>
      <c r="G67" s="35" t="inlineStr"/>
      <c r="H67" s="35" t="inlineStr"/>
      <c r="I67" s="38" t="inlineStr">
        <is>
          <t>Shareholder’s Fund</t>
        </is>
      </c>
    </row>
    <row r="68">
      <c r="A68" s="35" t="n">
        <v>67</v>
      </c>
      <c r="B68" s="36" t="inlineStr">
        <is>
          <t>Share Capital 10</t>
        </is>
      </c>
      <c r="C68" s="35" t="inlineStr">
        <is>
          <t>10</t>
        </is>
      </c>
      <c r="D68" s="37" t="inlineStr">
        <is>
          <t>2,952.60</t>
        </is>
      </c>
      <c r="E68" s="37" t="inlineStr">
        <is>
          <t>2,952.60</t>
        </is>
      </c>
      <c r="F68" s="35" t="n">
        <v>0</v>
      </c>
      <c r="G68" s="35" t="inlineStr"/>
      <c r="H68" s="35" t="inlineStr"/>
      <c r="I68" s="38" t="inlineStr">
        <is>
          <t>Share Capital 10 2,952.60 2,952.60</t>
        </is>
      </c>
    </row>
    <row r="69">
      <c r="A69" s="35" t="n">
        <v>68</v>
      </c>
      <c r="B69" s="36" t="inlineStr">
        <is>
          <t>Reserves and Surplus 11</t>
        </is>
      </c>
      <c r="C69" s="35" t="inlineStr">
        <is>
          <t>11</t>
        </is>
      </c>
      <c r="D69" s="37" t="inlineStr">
        <is>
          <t>412,070.28</t>
        </is>
      </c>
      <c r="E69" s="37" t="inlineStr">
        <is>
          <t>371,199.77</t>
        </is>
      </c>
      <c r="F69" s="35" t="n">
        <v>0</v>
      </c>
      <c r="G69" s="35" t="inlineStr"/>
      <c r="H69" s="35" t="inlineStr"/>
      <c r="I69" s="38" t="inlineStr">
        <is>
          <t>Reserves and Surplus 11 412,070.28 371,199.77</t>
        </is>
      </c>
    </row>
    <row r="70">
      <c r="A70" s="39" t="n">
        <v>69</v>
      </c>
      <c r="B70" s="40" t="inlineStr">
        <is>
          <t>Non-Current Liabilities</t>
        </is>
      </c>
      <c r="C70" s="39" t="inlineStr"/>
      <c r="D70" s="41" t="inlineStr"/>
      <c r="E70" s="41" t="inlineStr"/>
      <c r="F70" s="39" t="n">
        <v>0</v>
      </c>
      <c r="G70" s="39" t="inlineStr">
        <is>
          <t>Yes</t>
        </is>
      </c>
      <c r="H70" s="39" t="inlineStr"/>
      <c r="I70" s="42" t="inlineStr">
        <is>
          <t>Non-Current Liabilities</t>
        </is>
      </c>
    </row>
    <row r="71">
      <c r="A71" s="35" t="n">
        <v>70</v>
      </c>
      <c r="B71" s="36" t="inlineStr">
        <is>
          <t>Other Long Term Liabilities 12</t>
        </is>
      </c>
      <c r="C71" s="35" t="inlineStr">
        <is>
          <t>12</t>
        </is>
      </c>
      <c r="D71" s="37" t="inlineStr">
        <is>
          <t>645.00</t>
        </is>
      </c>
      <c r="E71" s="37" t="inlineStr">
        <is>
          <t>663.00</t>
        </is>
      </c>
      <c r="F71" s="35" t="n">
        <v>0</v>
      </c>
      <c r="G71" s="35" t="inlineStr"/>
      <c r="H71" s="35" t="inlineStr"/>
      <c r="I71" s="38" t="inlineStr">
        <is>
          <t>Other Long Term Liabilities 12 645.00 663.00</t>
        </is>
      </c>
    </row>
    <row r="72">
      <c r="A72" s="35" t="n">
        <v>71</v>
      </c>
      <c r="B72" s="36" t="inlineStr">
        <is>
          <t>Deferred tax liabilities (net) 13</t>
        </is>
      </c>
      <c r="C72" s="35" t="inlineStr">
        <is>
          <t>13</t>
        </is>
      </c>
      <c r="D72" s="37" t="inlineStr">
        <is>
          <t>461.67</t>
        </is>
      </c>
      <c r="E72" s="37" t="inlineStr">
        <is>
          <t>462.69</t>
        </is>
      </c>
      <c r="F72" s="35" t="n">
        <v>0</v>
      </c>
      <c r="G72" s="35" t="inlineStr"/>
      <c r="H72" s="35" t="inlineStr"/>
      <c r="I72" s="38" t="inlineStr">
        <is>
          <t>Deferred tax liabilities (net) 13 461.67 462.69</t>
        </is>
      </c>
    </row>
    <row r="73">
      <c r="A73" s="35" t="n">
        <v>72</v>
      </c>
      <c r="B73" s="36" t="inlineStr">
        <is>
          <t>Long Term Provisions 14</t>
        </is>
      </c>
      <c r="C73" s="35" t="inlineStr">
        <is>
          <t>14</t>
        </is>
      </c>
      <c r="D73" s="37" t="inlineStr">
        <is>
          <t>58.93</t>
        </is>
      </c>
      <c r="E73" s="37" t="inlineStr">
        <is>
          <t>48.72</t>
        </is>
      </c>
      <c r="F73" s="35" t="n">
        <v>0</v>
      </c>
      <c r="G73" s="35" t="inlineStr"/>
      <c r="H73" s="35" t="inlineStr"/>
      <c r="I73" s="38" t="inlineStr">
        <is>
          <t>Long Term Provisions 14 58.93 48.72</t>
        </is>
      </c>
    </row>
    <row r="74">
      <c r="A74" s="39" t="n">
        <v>73</v>
      </c>
      <c r="B74" s="40" t="inlineStr">
        <is>
          <t>Current Liabilities</t>
        </is>
      </c>
      <c r="C74" s="39" t="inlineStr"/>
      <c r="D74" s="41" t="inlineStr"/>
      <c r="E74" s="41" t="inlineStr"/>
      <c r="F74" s="39" t="n">
        <v>0</v>
      </c>
      <c r="G74" s="39" t="inlineStr">
        <is>
          <t>Yes</t>
        </is>
      </c>
      <c r="H74" s="39" t="inlineStr"/>
      <c r="I74" s="42" t="inlineStr">
        <is>
          <t>Current Liabilities</t>
        </is>
      </c>
    </row>
    <row r="75">
      <c r="A75" s="35" t="n">
        <v>74</v>
      </c>
      <c r="B75" s="36" t="inlineStr">
        <is>
          <t>Short Term Borrowings 15</t>
        </is>
      </c>
      <c r="C75" s="35" t="inlineStr">
        <is>
          <t>15</t>
        </is>
      </c>
      <c r="D75" s="37" t="inlineStr">
        <is>
          <t>859,454.59</t>
        </is>
      </c>
      <c r="E75" s="37" t="inlineStr">
        <is>
          <t>543,493.01</t>
        </is>
      </c>
      <c r="F75" s="35" t="n">
        <v>0</v>
      </c>
      <c r="G75" s="35" t="inlineStr"/>
      <c r="H75" s="35" t="inlineStr"/>
      <c r="I75" s="38" t="inlineStr">
        <is>
          <t>Short Term Borrowings 15 859,454.59 543,493.01</t>
        </is>
      </c>
    </row>
    <row r="76">
      <c r="A76" s="35" t="n">
        <v>75</v>
      </c>
      <c r="B76" s="36" t="inlineStr">
        <is>
          <t>Trade Payables 16</t>
        </is>
      </c>
      <c r="C76" s="35" t="inlineStr">
        <is>
          <t>16</t>
        </is>
      </c>
      <c r="D76" s="37" t="inlineStr">
        <is>
          <t>710,248.01</t>
        </is>
      </c>
      <c r="E76" s="37" t="inlineStr">
        <is>
          <t>1,197,553.40</t>
        </is>
      </c>
      <c r="F76" s="35" t="n">
        <v>0</v>
      </c>
      <c r="G76" s="35" t="inlineStr"/>
      <c r="H76" s="35" t="inlineStr"/>
      <c r="I76" s="38" t="inlineStr">
        <is>
          <t>Trade Payables 16 710,248.01 1,197,553.40</t>
        </is>
      </c>
    </row>
    <row r="77">
      <c r="A77" s="35" t="n">
        <v>76</v>
      </c>
      <c r="B77" s="36" t="inlineStr">
        <is>
          <t>Other Current Liabilities 17</t>
        </is>
      </c>
      <c r="C77" s="35" t="inlineStr">
        <is>
          <t>17</t>
        </is>
      </c>
      <c r="D77" s="37" t="inlineStr">
        <is>
          <t>2,324.43</t>
        </is>
      </c>
      <c r="E77" s="37" t="inlineStr">
        <is>
          <t>1,562.10</t>
        </is>
      </c>
      <c r="F77" s="35" t="n">
        <v>0</v>
      </c>
      <c r="G77" s="35" t="inlineStr"/>
      <c r="H77" s="35" t="inlineStr"/>
      <c r="I77" s="38" t="inlineStr">
        <is>
          <t>Other Current Liabilities 17 2,324.43 1,562.10</t>
        </is>
      </c>
    </row>
    <row r="78">
      <c r="A78" s="35" t="n">
        <v>77</v>
      </c>
      <c r="B78" s="36" t="inlineStr">
        <is>
          <t>Short - Term Provisions 18</t>
        </is>
      </c>
      <c r="C78" s="35" t="inlineStr">
        <is>
          <t>18</t>
        </is>
      </c>
      <c r="D78" s="37" t="inlineStr">
        <is>
          <t>4,722.75</t>
        </is>
      </c>
      <c r="E78" s="37" t="inlineStr">
        <is>
          <t>1,965.68</t>
        </is>
      </c>
      <c r="F78" s="35" t="n">
        <v>0</v>
      </c>
      <c r="G78" s="35" t="inlineStr"/>
      <c r="H78" s="35" t="inlineStr"/>
      <c r="I78" s="38" t="inlineStr">
        <is>
          <t>Short - Term Provisions 18 4,722.75 1,965.68</t>
        </is>
      </c>
    </row>
    <row r="79">
      <c r="A79" s="35" t="n">
        <v>78</v>
      </c>
      <c r="B79" s="36" t="inlineStr">
        <is>
          <t>Company Information and significant accounting Polices</t>
        </is>
      </c>
      <c r="C79" s="35" t="inlineStr"/>
      <c r="D79" s="37" t="inlineStr">
        <is>
          <t>1</t>
        </is>
      </c>
      <c r="E79" s="37" t="inlineStr"/>
      <c r="F79" s="35" t="n">
        <v>0</v>
      </c>
      <c r="G79" s="35" t="inlineStr"/>
      <c r="H79" s="35" t="inlineStr"/>
      <c r="I79" s="38" t="inlineStr">
        <is>
          <t>Company Information and significant accounting Polices 1</t>
        </is>
      </c>
    </row>
    <row r="80">
      <c r="A80" s="35" t="n">
        <v>79</v>
      </c>
      <c r="B80" s="36" t="inlineStr">
        <is>
          <t>Accompanying notes are an integral part of these financial statements For P V RAMANA REDDY &amp; CO</t>
        </is>
      </c>
      <c r="C80" s="35" t="inlineStr"/>
      <c r="D80" s="37" t="inlineStr"/>
      <c r="E80" s="37" t="inlineStr"/>
      <c r="F80" s="35" t="n">
        <v>0</v>
      </c>
      <c r="G80" s="35" t="inlineStr"/>
      <c r="H80" s="35" t="inlineStr"/>
      <c r="I80" s="38" t="inlineStr">
        <is>
          <t>Accompanying notes are an integral part of these financial statements | For P V RAMANA REDDY &amp; CO</t>
        </is>
      </c>
    </row>
    <row r="81">
      <c r="A81" s="35" t="n">
        <v>80</v>
      </c>
      <c r="B81" s="36" t="inlineStr">
        <is>
          <t>DIN : 00336457 DIN : 00336417 M.No. A35258</t>
        </is>
      </c>
      <c r="C81" s="35" t="inlineStr"/>
      <c r="D81" s="37" t="inlineStr"/>
      <c r="E81" s="37" t="inlineStr"/>
      <c r="F81" s="35" t="n">
        <v>0</v>
      </c>
      <c r="G81" s="35" t="inlineStr"/>
      <c r="H81" s="35" t="inlineStr"/>
      <c r="I81" s="38" t="inlineStr">
        <is>
          <t>DIN : 00336457 DIN : 00336417 M.No. A35258</t>
        </is>
      </c>
    </row>
    <row r="82">
      <c r="A82" s="35" t="n">
        <v>81</v>
      </c>
      <c r="B82" s="36" t="inlineStr">
        <is>
          <t>Sd/-</t>
        </is>
      </c>
      <c r="C82" s="35" t="inlineStr"/>
      <c r="D82" s="37" t="inlineStr"/>
      <c r="E82" s="37" t="inlineStr"/>
      <c r="F82" s="35" t="n">
        <v>0</v>
      </c>
      <c r="G82" s="35" t="inlineStr"/>
      <c r="H82" s="35" t="inlineStr"/>
      <c r="I82" s="38" t="inlineStr">
        <is>
          <t>Sd/-</t>
        </is>
      </c>
    </row>
    <row r="83">
      <c r="A83" s="39" t="n">
        <v>82</v>
      </c>
      <c r="B83" s="40" t="inlineStr">
        <is>
          <t>VIJAYA LAKSHMI (CA. P V RAMANA REDDY)</t>
        </is>
      </c>
      <c r="C83" s="39" t="inlineStr"/>
      <c r="D83" s="41" t="inlineStr"/>
      <c r="E83" s="41" t="inlineStr"/>
      <c r="F83" s="39" t="n">
        <v>0</v>
      </c>
      <c r="G83" s="39" t="inlineStr">
        <is>
          <t>Yes</t>
        </is>
      </c>
      <c r="H83" s="39" t="inlineStr"/>
      <c r="I83" s="42" t="inlineStr">
        <is>
          <t>VIJAYA LAKSHMI (CA. P V RAMANA REDDY)</t>
        </is>
      </c>
    </row>
    <row r="84">
      <c r="A84" s="35" t="n">
        <v>83</v>
      </c>
      <c r="B84" s="36" t="inlineStr">
        <is>
          <t>Date : May 30, 2018 DIN : 071460 CFO M.No.</t>
        </is>
      </c>
      <c r="C84" s="35" t="inlineStr"/>
      <c r="D84" s="37" t="inlineStr">
        <is>
          <t>204588</t>
        </is>
      </c>
      <c r="E84" s="37" t="inlineStr"/>
      <c r="F84" s="35" t="n">
        <v>0</v>
      </c>
      <c r="G84" s="35" t="inlineStr"/>
      <c r="H84" s="35" t="inlineStr"/>
      <c r="I84" s="38" t="inlineStr">
        <is>
          <t>Date : May 30, 2018 DIN : 071460 CFO M.No. 204588</t>
        </is>
      </c>
    </row>
    <row r="85">
      <c r="A85" s="35" t="n">
        <v>84</v>
      </c>
      <c r="B85" s="36" t="inlineStr">
        <is>
          <t>Note</t>
        </is>
      </c>
      <c r="C85" s="35" t="inlineStr"/>
      <c r="D85" s="37" t="inlineStr"/>
      <c r="E85" s="37" t="inlineStr"/>
      <c r="F85" s="35" t="n">
        <v>0</v>
      </c>
      <c r="G85" s="35" t="inlineStr"/>
      <c r="H85" s="35" t="inlineStr"/>
      <c r="I85" s="38" t="inlineStr">
        <is>
          <t>Note</t>
        </is>
      </c>
    </row>
    <row r="86">
      <c r="A86" s="35" t="n">
        <v>85</v>
      </c>
      <c r="B86" s="36" t="inlineStr">
        <is>
          <t>No.</t>
        </is>
      </c>
      <c r="C86" s="35" t="inlineStr"/>
      <c r="D86" s="37" t="inlineStr"/>
      <c r="E86" s="37" t="inlineStr"/>
      <c r="F86" s="35" t="n">
        <v>0</v>
      </c>
      <c r="G86" s="35" t="inlineStr"/>
      <c r="H86" s="35" t="inlineStr"/>
      <c r="I86" s="38" t="inlineStr">
        <is>
          <t>No.</t>
        </is>
      </c>
    </row>
    <row r="87">
      <c r="A87" s="35" t="n">
        <v>86</v>
      </c>
      <c r="B87" s="36" t="inlineStr">
        <is>
          <t>1 Deferred Tax Assets include Minimum Alternative Tax (MAT) paid in accordance with the tax laws in India, which is likely to give future economic benefits in the form of availability of set off against future income tax liability. Accordingly, MAT is recognized as deferred tax asset in the Balance sheet when the asset can be measured reliably and it is probable that the future economic benefit associated with the asset will be realized. xi. Provisions and Contingent Liabilities (Other than for employee benefit):</t>
        </is>
      </c>
      <c r="C87" s="35" t="inlineStr"/>
      <c r="D87" s="37" t="inlineStr"/>
      <c r="E87" s="37" t="inlineStr"/>
      <c r="F87" s="35" t="n">
        <v>0</v>
      </c>
      <c r="G87" s="35" t="inlineStr"/>
      <c r="H87" s="35" t="inlineStr"/>
      <c r="I87" s="38" t="inlineStr">
        <is>
          <t>1 Deferred Tax Assets include Minimum Alternative Tax (MAT) paid in accordance with the | tax laws in India, which is likely to give future economic benefits in the form of availability</t>
        </is>
      </c>
    </row>
    <row r="88">
      <c r="A88" s="35" t="n">
        <v>87</v>
      </c>
      <c r="B88" s="36" t="inlineStr">
        <is>
          <t>Provisions are recognized when the company has legal and constructive obligations arising from past events, outflow of future economic benefits should be probable and it should be measured.</t>
        </is>
      </c>
      <c r="C88" s="35" t="inlineStr"/>
      <c r="D88" s="37" t="inlineStr"/>
      <c r="E88" s="37" t="inlineStr"/>
      <c r="F88" s="35" t="n">
        <v>0</v>
      </c>
      <c r="G88" s="35" t="inlineStr"/>
      <c r="H88" s="35" t="inlineStr"/>
      <c r="I88" s="38" t="inlineStr">
        <is>
          <t>Provisions are recognized when the company has legal and constructive obligations arising | from past events, outflow of future economic benefits should be probable and it should be</t>
        </is>
      </c>
    </row>
    <row r="89">
      <c r="A89" s="35" t="n">
        <v>88</v>
      </c>
      <c r="B89" s="36" t="inlineStr">
        <is>
          <t>Provisions for onerous contracts i.e contract where the expected unavoidable cost of meeting the obligation under the contract exceed the economic benefits expected to be received under it, are recognized when it is probable that an outflow of resources embodying economic benefits will be required to settle a present obligation as a result of an obligating event based on a reliable estimate of such obligations.</t>
        </is>
      </c>
      <c r="C89" s="35" t="inlineStr"/>
      <c r="D89" s="37" t="inlineStr"/>
      <c r="E89" s="37" t="inlineStr"/>
      <c r="F89" s="35" t="n">
        <v>0</v>
      </c>
      <c r="G89" s="35" t="inlineStr"/>
      <c r="H89" s="35" t="inlineStr"/>
      <c r="I89" s="38" t="inlineStr">
        <is>
          <t>Provisions for onerous contracts i.e contract where the expected unavoidable cost of meeting | the obligation under the contract exceed the economic benefits expected to be received under</t>
        </is>
      </c>
    </row>
    <row r="90">
      <c r="A90" s="35" t="n">
        <v>89</v>
      </c>
      <c r="B90" s="36" t="inlineStr">
        <is>
          <t>Disclosures of contingent liability is present obligation as a result of past obligation events. xii. Cash and cash equivalents</t>
        </is>
      </c>
      <c r="C90" s="35" t="inlineStr"/>
      <c r="D90" s="37" t="inlineStr"/>
      <c r="E90" s="37" t="inlineStr"/>
      <c r="F90" s="35" t="n">
        <v>0</v>
      </c>
      <c r="G90" s="35" t="inlineStr"/>
      <c r="H90" s="35" t="inlineStr"/>
      <c r="I90" s="38" t="inlineStr">
        <is>
          <t>Disclosures of contingent liability is present obligation as a result of past obligation events. | xii. Cash and cash equivalents</t>
        </is>
      </c>
    </row>
    <row r="91">
      <c r="A91" s="35" t="n">
        <v>90</v>
      </c>
      <c r="B91" s="36" t="inlineStr">
        <is>
          <t>For the purpose of presentation in the statement of cash flows, cash and cash equivalents includes cash on hand, deposits held at call with financial institutions, other short- term, highly liquid investments with original maturities of three months or less that are readily convertible to known amounts of cash and which are subject to an insignificant risk of changes in value, and bank overdrafts. Bank overdrafts are shown within borrowings in current liabilities in the balance sheet</t>
        </is>
      </c>
      <c r="C91" s="35" t="inlineStr"/>
      <c r="D91" s="37" t="inlineStr"/>
      <c r="E91" s="37" t="inlineStr"/>
      <c r="F91" s="35" t="n">
        <v>0</v>
      </c>
      <c r="G91" s="35" t="inlineStr"/>
      <c r="H91" s="35" t="inlineStr"/>
      <c r="I91" s="38" t="inlineStr">
        <is>
          <t>For the purpose of presentation in the statement of cash flows, cash and cash equivalents | includes cash on hand, deposits held at call with financial institutions, other short- term,</t>
        </is>
      </c>
    </row>
    <row r="92">
      <c r="A92" s="35" t="n">
        <v>91</v>
      </c>
      <c r="B92" s="36" t="inlineStr">
        <is>
          <t>Statement of cash flow is prepared in accordance with the indirect method prescribed in Ind AS-7 ‘Statement of cash flows. xiii. Earning Per Share :</t>
        </is>
      </c>
      <c r="C92" s="35" t="inlineStr"/>
      <c r="D92" s="37" t="inlineStr"/>
      <c r="E92" s="37" t="inlineStr"/>
      <c r="F92" s="35" t="n">
        <v>0</v>
      </c>
      <c r="G92" s="35" t="inlineStr"/>
      <c r="H92" s="35" t="inlineStr"/>
      <c r="I92" s="38" t="inlineStr">
        <is>
          <t>Statement of cash flow is prepared in accordance with the indirect method prescribed in | Ind AS-7 ‘Statement of cash flows.</t>
        </is>
      </c>
    </row>
    <row r="93">
      <c r="A93" s="35" t="n">
        <v>92</v>
      </c>
      <c r="B93" s="36" t="inlineStr">
        <is>
          <t>Basic earnings per share is computed by dividing the profit / (loss) after tax (including the post-tax effect of extraordinary items, if any) by the weighted average number of equity shares outstanding during the period. Diluted earnings per share is computed by dividing the profit / (loss) after tax (including the post-tax effect of extraordinary items, if any) as adjusted for dividend, interest and other charges to expense or income relating to the dilutive potential equity shares, by the weighted average number of equity shares considered for deriving basic earnings per share and the weighted average number of equity shares which could have been issued on the conversion of all dilutive potential equity shares. Potential equity shares are deemed to be dilutive only if their conversion to equity shares would decrease the net profit per share from continuing ordinary operations. Potential dilutive equity shares are deemed to be converted as at the beginning of the period, unless they have been issued at a later date. The dilutive potential equity shares are adjusted for the proceeds receivable had the shares been actually issued at fair value (i.e. average market value of the outstanding shares). Dilutive potential equity shares are determined independently for each period presented. xiv. Amendment to Ind AS 21 The effect of changes in Foreign exchange Rates</t>
        </is>
      </c>
      <c r="C93" s="35" t="inlineStr"/>
      <c r="D93" s="37" t="inlineStr"/>
      <c r="E93" s="37" t="inlineStr"/>
      <c r="F93" s="35" t="n">
        <v>0</v>
      </c>
      <c r="G93" s="35" t="inlineStr"/>
      <c r="H93" s="35" t="inlineStr"/>
      <c r="I93" s="38" t="inlineStr">
        <is>
          <t>Basic earnings per share is computed by dividing the profit / (loss) after tax (including the | post-tax effect of extraordinary items, if any) by the weighted average number of equity</t>
        </is>
      </c>
    </row>
    <row r="94">
      <c r="A94" s="35" t="n">
        <v>93</v>
      </c>
      <c r="B94" s="36" t="inlineStr">
        <is>
          <t>On March 28, 2018 , Ministry of Corporate Affairs (‘MCA”)has notified the companies (Indian</t>
        </is>
      </c>
      <c r="C94" s="35" t="inlineStr"/>
      <c r="D94" s="37" t="inlineStr"/>
      <c r="E94" s="37" t="inlineStr"/>
      <c r="F94" s="35" t="n">
        <v>0</v>
      </c>
      <c r="G94" s="35" t="inlineStr"/>
      <c r="H94" s="35" t="inlineStr"/>
      <c r="I94" s="38" t="inlineStr">
        <is>
          <t>On March 28, 2018 , Ministry of Corporate Affairs (‘MCA”)has notified the companies (Indian</t>
        </is>
      </c>
    </row>
    <row r="95">
      <c r="A95" s="35" t="n">
        <v>94</v>
      </c>
      <c r="B95" s="36" t="inlineStr">
        <is>
          <t>Accounting Standards ) Amendment Rule ,2018 containing Appendix B to Ind AS</t>
        </is>
      </c>
      <c r="C95" s="35" t="inlineStr"/>
      <c r="D95" s="37" t="inlineStr">
        <is>
          <t>21.</t>
        </is>
      </c>
      <c r="E95" s="37" t="inlineStr"/>
      <c r="F95" s="35" t="n">
        <v>0</v>
      </c>
      <c r="G95" s="35" t="inlineStr"/>
      <c r="H95" s="35" t="inlineStr"/>
      <c r="I95" s="38" t="inlineStr">
        <is>
          <t>Accounting Standards ) Amendment Rule ,2018 containing Appendix B to Ind AS 21.</t>
        </is>
      </c>
    </row>
    <row r="96">
      <c r="A96" s="39" t="n">
        <v>95</v>
      </c>
      <c r="B96" s="40" t="inlineStr">
        <is>
          <t>RAJESH EXPORTS LIMITED</t>
        </is>
      </c>
      <c r="C96" s="39" t="inlineStr"/>
      <c r="D96" s="41" t="inlineStr"/>
      <c r="E96" s="41" t="inlineStr"/>
      <c r="F96" s="39" t="n">
        <v>0</v>
      </c>
      <c r="G96" s="39" t="inlineStr">
        <is>
          <t>Yes</t>
        </is>
      </c>
      <c r="H96" s="39" t="inlineStr"/>
      <c r="I96" s="42" t="inlineStr">
        <is>
          <t>RAJESH EXPORTS LIMITED</t>
        </is>
      </c>
    </row>
    <row r="97">
      <c r="A97" s="35" t="n">
        <v>96</v>
      </c>
      <c r="B97" s="36" t="inlineStr">
        <is>
          <t>Note</t>
        </is>
      </c>
      <c r="C97" s="35" t="inlineStr"/>
      <c r="D97" s="37" t="inlineStr"/>
      <c r="E97" s="37" t="inlineStr"/>
      <c r="F97" s="35" t="n">
        <v>0</v>
      </c>
      <c r="G97" s="35" t="inlineStr"/>
      <c r="H97" s="35" t="inlineStr"/>
      <c r="I97" s="38" t="inlineStr">
        <is>
          <t>Note</t>
        </is>
      </c>
    </row>
    <row r="98">
      <c r="A98" s="35" t="n">
        <v>97</v>
      </c>
      <c r="B98" s="36" t="inlineStr">
        <is>
          <t>No.</t>
        </is>
      </c>
      <c r="C98" s="35" t="inlineStr"/>
      <c r="D98" s="37" t="inlineStr"/>
      <c r="E98" s="37" t="inlineStr"/>
      <c r="F98" s="35" t="n">
        <v>0</v>
      </c>
      <c r="G98" s="35" t="inlineStr"/>
      <c r="H98" s="35" t="inlineStr"/>
      <c r="I98" s="38" t="inlineStr">
        <is>
          <t>No.</t>
        </is>
      </c>
    </row>
    <row r="99">
      <c r="A99" s="35" t="n">
        <v>98</v>
      </c>
      <c r="B99" s="36" t="inlineStr">
        <is>
          <t>1 Deferred Tax Assets include Minimum Alternative Tax (MAT) paid in accordance with the tax laws in India, which is likely to give future economic benefits in the form of availability of set off against future income tax liability. Accordingly, MAT is recognized as deferred tax asset in the Balance sheet when the asset can be measured reliably and it is probable that the future economic benefit associated with the asset will be realized. xi. Provisions and Contingent Liabilities (Other than for employee benefit):</t>
        </is>
      </c>
      <c r="C99" s="35" t="inlineStr"/>
      <c r="D99" s="37" t="inlineStr"/>
      <c r="E99" s="37" t="inlineStr"/>
      <c r="F99" s="35" t="n">
        <v>0</v>
      </c>
      <c r="G99" s="35" t="inlineStr"/>
      <c r="H99" s="35" t="inlineStr"/>
      <c r="I99" s="38" t="inlineStr">
        <is>
          <t>1 Deferred Tax Assets include Minimum Alternative Tax (MAT) paid in accordance with the | tax laws in India, which is likely to give future economic benefits in the form of availability</t>
        </is>
      </c>
    </row>
    <row r="100">
      <c r="A100" s="35" t="n">
        <v>99</v>
      </c>
      <c r="B100" s="36" t="inlineStr">
        <is>
          <t>Provisions are recognized when the company has legal and constructive obligations arising from past events, outflow of future economic benefits should be probable and it should be measured.</t>
        </is>
      </c>
      <c r="C100" s="35" t="inlineStr"/>
      <c r="D100" s="37" t="inlineStr"/>
      <c r="E100" s="37" t="inlineStr"/>
      <c r="F100" s="35" t="n">
        <v>0</v>
      </c>
      <c r="G100" s="35" t="inlineStr"/>
      <c r="H100" s="35" t="inlineStr"/>
      <c r="I100" s="38" t="inlineStr">
        <is>
          <t>Provisions are recognized when the company has legal and constructive obligations arising | from past events, outflow of future economic benefits should be probable and it should be</t>
        </is>
      </c>
    </row>
    <row r="101">
      <c r="A101" s="35" t="n">
        <v>100</v>
      </c>
      <c r="B101" s="36" t="inlineStr">
        <is>
          <t>Provisions for onerous contracts i.e contract where the expected unavoidable cost of meeting the obligation under the contract exceed the economic benefits expected to be received under it, are recognized when it is probable that an outflow of resources embodying economic benefits will be required to settle a present obligation as a result of an obligating event based on a reliable estimate of such obligations.</t>
        </is>
      </c>
      <c r="C101" s="35" t="inlineStr"/>
      <c r="D101" s="37" t="inlineStr"/>
      <c r="E101" s="37" t="inlineStr"/>
      <c r="F101" s="35" t="n">
        <v>0</v>
      </c>
      <c r="G101" s="35" t="inlineStr"/>
      <c r="H101" s="35" t="inlineStr"/>
      <c r="I101" s="38" t="inlineStr">
        <is>
          <t>Provisions for onerous contracts i.e contract where the expected unavoidable cost of meeting | the obligation under the contract exceed the economic benefits expected to be received under</t>
        </is>
      </c>
    </row>
    <row r="102">
      <c r="A102" s="35" t="n">
        <v>101</v>
      </c>
      <c r="B102" s="36" t="inlineStr">
        <is>
          <t>Disclosures of contingent liability is present obligation as a result of past obligation events. xii. Cash and cash equivalents</t>
        </is>
      </c>
      <c r="C102" s="35" t="inlineStr"/>
      <c r="D102" s="37" t="inlineStr"/>
      <c r="E102" s="37" t="inlineStr"/>
      <c r="F102" s="35" t="n">
        <v>0</v>
      </c>
      <c r="G102" s="35" t="inlineStr"/>
      <c r="H102" s="35" t="inlineStr"/>
      <c r="I102" s="38" t="inlineStr">
        <is>
          <t>Disclosures of contingent liability is present obligation as a result of past obligation events. | xii. Cash and cash equivalents</t>
        </is>
      </c>
    </row>
    <row r="103">
      <c r="A103" s="35" t="n">
        <v>102</v>
      </c>
      <c r="B103" s="36" t="inlineStr">
        <is>
          <t>For the purpose of presentation in the statement of cash flows, cash and cash equivalents includes cash on hand, deposits held at call with financial institutions, other short- term, highly liquid investments with original maturities of three months or less that are readily convertible to known amounts of cash and which are subject to an insignificant risk of changes in value, and bank overdrafts. Bank overdrafts are shown within borrowings in current liabilities in the balance sheet</t>
        </is>
      </c>
      <c r="C103" s="35" t="inlineStr"/>
      <c r="D103" s="37" t="inlineStr"/>
      <c r="E103" s="37" t="inlineStr"/>
      <c r="F103" s="35" t="n">
        <v>0</v>
      </c>
      <c r="G103" s="35" t="inlineStr"/>
      <c r="H103" s="35" t="inlineStr"/>
      <c r="I103" s="38" t="inlineStr">
        <is>
          <t>For the purpose of presentation in the statement of cash flows, cash and cash equivalents | includes cash on hand, deposits held at call with financial institutions, other short- term,</t>
        </is>
      </c>
    </row>
    <row r="104">
      <c r="A104" s="35" t="n">
        <v>103</v>
      </c>
      <c r="B104" s="36" t="inlineStr">
        <is>
          <t>Statement of cash flow is prepared in accordance with the indirect method prescribed in Ind AS-7 ‘Statement of cash flows. xiii. Earning Per Share :</t>
        </is>
      </c>
      <c r="C104" s="35" t="inlineStr"/>
      <c r="D104" s="37" t="inlineStr"/>
      <c r="E104" s="37" t="inlineStr"/>
      <c r="F104" s="35" t="n">
        <v>0</v>
      </c>
      <c r="G104" s="35" t="inlineStr"/>
      <c r="H104" s="35" t="inlineStr"/>
      <c r="I104" s="38" t="inlineStr">
        <is>
          <t>Statement of cash flow is prepared in accordance with the indirect method prescribed in | Ind AS-7 ‘Statement of cash flows.</t>
        </is>
      </c>
    </row>
    <row r="105">
      <c r="A105" s="35" t="n">
        <v>104</v>
      </c>
      <c r="B105" s="36" t="inlineStr">
        <is>
          <t>Basic earnings per share is computed by dividing the profit / (loss) after tax (including the post-tax effect of extraordinary items, if any) by the weighted average number of equity shares outstanding during the period. Diluted earnings per share is computed by dividing the profit / (loss) after tax (including the post-tax effect of extraordinary items, if any) as adjusted for dividend, interest and other charges to expense or income relating to the dilutive potential equity shares, by the weighted average number of equity shares considered for deriving basic earnings per share and the weighted average number of equity shares which could have been issued on the conversion of all dilutive potential equity shares.</t>
        </is>
      </c>
      <c r="C105" s="35" t="inlineStr"/>
      <c r="D105" s="37" t="inlineStr"/>
      <c r="E105" s="37" t="inlineStr"/>
      <c r="F105" s="35" t="n">
        <v>0</v>
      </c>
      <c r="G105" s="35" t="inlineStr"/>
      <c r="H105" s="35" t="inlineStr"/>
      <c r="I105" s="38" t="inlineStr">
        <is>
          <t>Basic earnings per share is computed by dividing the profit / (loss) after tax (including the | post-tax effect of extraordinary items, if any) by the weighted average number of equity</t>
        </is>
      </c>
    </row>
    <row r="106">
      <c r="A106" s="35" t="n">
        <v>105</v>
      </c>
      <c r="B106" s="36" t="inlineStr">
        <is>
          <t>Potential equity shares are deemed to be dilutive only if their conversion to equity shares would decrease the net profit per share from continuing ordinary operations. Potential dilutive equity shares are deemed to be converted as at the beginning of the period, unless they have been issued at a later date. The dilutive potential equity shares are adjusted for the proceeds receivable had the shares been actually issued at fair value (i.e. average market value of the outstanding shares). Dilutive potential equity shares are determined independently for each period presented. xiv. Amendment to Ind AS 21 The effect of changes in Foreign exchange Rates</t>
        </is>
      </c>
      <c r="C106" s="35" t="inlineStr"/>
      <c r="D106" s="37" t="inlineStr"/>
      <c r="E106" s="37" t="inlineStr"/>
      <c r="F106" s="35" t="n">
        <v>0</v>
      </c>
      <c r="G106" s="35" t="inlineStr"/>
      <c r="H106" s="35" t="inlineStr"/>
      <c r="I106" s="38" t="inlineStr">
        <is>
          <t>Potential equity shares are deemed to be dilutive only if their conversion to equity shares | would decrease the net profit per share from continuing ordinary operations. Potential</t>
        </is>
      </c>
    </row>
    <row r="107">
      <c r="A107" s="35" t="n">
        <v>106</v>
      </c>
      <c r="B107" s="36" t="inlineStr">
        <is>
          <t>On March 28, 2018, Ministry of Corporate Affairs (‘MCA”) has notified the companies (Indian</t>
        </is>
      </c>
      <c r="C107" s="35" t="inlineStr"/>
      <c r="D107" s="37" t="inlineStr"/>
      <c r="E107" s="37" t="inlineStr"/>
      <c r="F107" s="35" t="n">
        <v>0</v>
      </c>
      <c r="G107" s="35" t="inlineStr"/>
      <c r="H107" s="35" t="inlineStr"/>
      <c r="I107" s="38" t="inlineStr">
        <is>
          <t>On March 28, 2018, Ministry of Corporate Affairs (‘MCA”) has notified the companies (Indian</t>
        </is>
      </c>
    </row>
    <row r="108">
      <c r="A108" s="35" t="n">
        <v>107</v>
      </c>
      <c r="B108" s="36" t="inlineStr">
        <is>
          <t>Accounting Standards) Amendment Rule, 2018 containing Appendix B to Ind AS • Appendix B to Ind AS 21 applies when a) Pays or receives consideration denominated or Priced in a foreign currency and</t>
        </is>
      </c>
      <c r="C108" s="35" t="inlineStr"/>
      <c r="D108" s="37" t="inlineStr">
        <is>
          <t>21.</t>
        </is>
      </c>
      <c r="E108" s="37" t="inlineStr"/>
      <c r="F108" s="35" t="n">
        <v>0</v>
      </c>
      <c r="G108" s="35" t="inlineStr"/>
      <c r="H108" s="35" t="inlineStr"/>
      <c r="I108" s="38" t="inlineStr">
        <is>
          <t>Accounting Standards) Amendment Rule, 2018 containing Appendix B to Ind AS 21. | • Appendix B to Ind AS 21 applies when</t>
        </is>
      </c>
    </row>
    <row r="110">
      <c r="A110" s="48" t="inlineStr">
        <is>
          <t>Source Pages:</t>
        </is>
      </c>
      <c r="B110" s="49" t="inlineStr">
        <is>
          <t>47, 48, 52, 61, 86</t>
        </is>
      </c>
    </row>
    <row r="111">
      <c r="A111" s="48" t="inlineStr">
        <is>
          <t>Unit:</t>
        </is>
      </c>
      <c r="B111" s="49" t="inlineStr">
        <is>
          <t>₹ in Lakhs</t>
        </is>
      </c>
    </row>
  </sheetData>
  <autoFilter ref="A1:I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March 31, 2018</t>
        </is>
      </c>
      <c r="E1" s="34" t="inlineStr">
        <is>
          <t>2014</t>
        </is>
      </c>
      <c r="F1" s="34" t="inlineStr">
        <is>
          <t>Indent</t>
        </is>
      </c>
      <c r="G1" s="34" t="inlineStr">
        <is>
          <t>Section Header</t>
        </is>
      </c>
      <c r="H1" s="34" t="inlineStr">
        <is>
          <t>Total Row</t>
        </is>
      </c>
      <c r="I1" s="34" t="inlineStr">
        <is>
          <t>Raw Text</t>
        </is>
      </c>
    </row>
    <row r="2">
      <c r="A2" s="35" t="n">
        <v>1</v>
      </c>
      <c r="B2" s="36" t="inlineStr">
        <is>
          <t>c) The Balance Sheet, the Statement of Profit and Loss (including other comprehensive income), the Cash Flow</t>
        </is>
      </c>
      <c r="C2" s="35" t="inlineStr"/>
      <c r="D2" s="37" t="inlineStr"/>
      <c r="E2" s="37" t="inlineStr"/>
      <c r="F2" s="35" t="n">
        <v>0</v>
      </c>
      <c r="G2" s="35" t="inlineStr"/>
      <c r="H2" s="35" t="inlineStr"/>
      <c r="I2" s="38" t="inlineStr">
        <is>
          <t>c) The Balance Sheet, the Statement of Profit and Loss (including other comprehensive income), the Cash Flow</t>
        </is>
      </c>
    </row>
    <row r="3">
      <c r="A3" s="35" t="n">
        <v>2</v>
      </c>
      <c r="B3" s="36" t="inlineStr">
        <is>
          <t>Statement and the Statement of Changes in Equity dealt with by this Report are in agreement with the books of account. d) In our opinion, aforesaid standalone Ind AS Financial statement complies with Indian accounting statement specified under section 133 of the Act. e) On basis of the written representations received from the directors as on March 31, 2018 taken on record by the Board of Directors, none of the directors are disqualified as on March 31, 2018 from being appointed as a director in terms of Section 164 (2) of the Act. f) With respect to the adequacy of the internal financial controls with reference to financial statements of the</t>
        </is>
      </c>
      <c r="C3" s="35" t="inlineStr"/>
      <c r="D3" s="37" t="inlineStr"/>
      <c r="E3" s="37" t="inlineStr"/>
      <c r="F3" s="35" t="n">
        <v>0</v>
      </c>
      <c r="G3" s="35" t="inlineStr"/>
      <c r="H3" s="35" t="inlineStr"/>
      <c r="I3" s="38" t="inlineStr">
        <is>
          <t>Statement and the Statement of Changes in Equity dealt with by this Report are in agreement with the books | of account.</t>
        </is>
      </c>
    </row>
    <row r="4">
      <c r="A4" s="35" t="n">
        <v>3</v>
      </c>
      <c r="B4" s="36" t="inlineStr">
        <is>
          <t>Company and the operating effectiveness of such controls, refer to our separate Report in Annexure A g) With respect to the other matters to be included in the Auditors’ Report in accordance with Rule 11 of the</t>
        </is>
      </c>
      <c r="C4" s="35" t="inlineStr"/>
      <c r="D4" s="37" t="inlineStr"/>
      <c r="E4" s="37" t="inlineStr"/>
      <c r="F4" s="35" t="n">
        <v>0</v>
      </c>
      <c r="G4" s="35" t="inlineStr"/>
      <c r="H4" s="35" t="inlineStr"/>
      <c r="I4" s="38" t="inlineStr">
        <is>
          <t>Company and the operating effectiveness of such controls, refer to our separate Report in Annexure A | g) With respect to the other matters to be included in the Auditors’ Report in accordance with Rule 11 of the</t>
        </is>
      </c>
    </row>
    <row r="5">
      <c r="A5" s="35" t="n">
        <v>4</v>
      </c>
      <c r="B5" s="36" t="inlineStr">
        <is>
          <t>Companies (Audit and Auditors) Rules, 2014, in our opinion and to the best of our knowledge and belief and according to the information and explanations given to us</t>
        </is>
      </c>
      <c r="C5" s="35" t="inlineStr"/>
      <c r="D5" s="37" t="inlineStr"/>
      <c r="E5" s="37" t="inlineStr"/>
      <c r="F5" s="35" t="n">
        <v>0</v>
      </c>
      <c r="G5" s="35" t="inlineStr"/>
      <c r="H5" s="35" t="inlineStr"/>
      <c r="I5" s="38" t="inlineStr">
        <is>
          <t>Companies (Audit and Auditors) Rules, 2014, in our opinion and to the best of our knowledge and belief and | according to the information and explanations given to us</t>
        </is>
      </c>
    </row>
    <row r="6">
      <c r="A6" s="35" t="n">
        <v>5</v>
      </c>
      <c r="B6" s="36" t="inlineStr">
        <is>
          <t>I. The Company has disclosed the impact, if any, of pending litigations as at March 31, 2018 on its financial position in its standalone Ind AS financial statements. (Refer Note No. 25)</t>
        </is>
      </c>
      <c r="C6" s="35" t="inlineStr"/>
      <c r="D6" s="37" t="inlineStr"/>
      <c r="E6" s="37" t="inlineStr"/>
      <c r="F6" s="35" t="n">
        <v>0</v>
      </c>
      <c r="G6" s="35" t="inlineStr"/>
      <c r="H6" s="35" t="inlineStr"/>
      <c r="I6" s="38" t="inlineStr">
        <is>
          <t>I. The Company has disclosed the impact, if any, of pending litigations as at March 31, 2018 on its financial | position in its standalone Ind AS financial statements. (Refer Note No. 25)</t>
        </is>
      </c>
    </row>
    <row r="7">
      <c r="A7" s="35" t="n">
        <v>6</v>
      </c>
      <c r="B7" s="36" t="inlineStr">
        <is>
          <t>II. Company did not have any derivative contracts as at March 31st</t>
        </is>
      </c>
      <c r="C7" s="35" t="inlineStr"/>
      <c r="D7" s="37" t="inlineStr">
        <is>
          <t>2018</t>
        </is>
      </c>
      <c r="E7" s="37" t="inlineStr"/>
      <c r="F7" s="35" t="n">
        <v>0</v>
      </c>
      <c r="G7" s="35" t="inlineStr"/>
      <c r="H7" s="35" t="inlineStr"/>
      <c r="I7" s="38" t="inlineStr">
        <is>
          <t>II. Company did not have any derivative contracts as at March 31st 2018</t>
        </is>
      </c>
    </row>
    <row r="8">
      <c r="A8" s="35" t="n">
        <v>7</v>
      </c>
      <c r="B8" s="36" t="inlineStr">
        <is>
          <t>III. The unpaid dividend amount to be transferred to investor education and protection fund for the year</t>
        </is>
      </c>
      <c r="C8" s="35" t="inlineStr"/>
      <c r="D8" s="37" t="inlineStr"/>
      <c r="E8" s="37" t="inlineStr"/>
      <c r="F8" s="35" t="n">
        <v>0</v>
      </c>
      <c r="G8" s="35" t="inlineStr"/>
      <c r="H8" s="35" t="inlineStr"/>
      <c r="I8" s="38" t="inlineStr">
        <is>
          <t>III. The unpaid dividend amount to be transferred to investor education and protection fund for the year</t>
        </is>
      </c>
    </row>
    <row r="9">
      <c r="A9" s="35" t="n">
        <v>8</v>
      </c>
      <c r="B9" s="36" t="inlineStr">
        <is>
          <t>2009-10 has been paid later than the required date of payment. (Refer Note No. 25)</t>
        </is>
      </c>
      <c r="C9" s="35" t="inlineStr"/>
      <c r="D9" s="37" t="inlineStr"/>
      <c r="E9" s="37" t="inlineStr"/>
      <c r="F9" s="35" t="n">
        <v>0</v>
      </c>
      <c r="G9" s="35" t="inlineStr"/>
      <c r="H9" s="35" t="inlineStr"/>
      <c r="I9" s="38" t="inlineStr">
        <is>
          <t>2009-10 has been paid later than the required date of payment. (Refer Note No. 25)</t>
        </is>
      </c>
    </row>
    <row r="10">
      <c r="A10" s="35" t="n">
        <v>9</v>
      </c>
      <c r="B10" s="36" t="inlineStr">
        <is>
          <t>IV. Reporting on Disclosures relating to specified bank notes not applicable to the company for the year ended</t>
        </is>
      </c>
      <c r="C10" s="35" t="inlineStr"/>
      <c r="D10" s="37" t="inlineStr"/>
      <c r="E10" s="37" t="inlineStr"/>
      <c r="F10" s="35" t="n">
        <v>0</v>
      </c>
      <c r="G10" s="35" t="inlineStr"/>
      <c r="H10" s="35" t="inlineStr"/>
      <c r="I10" s="38" t="inlineStr">
        <is>
          <t>IV. Reporting on Disclosures relating to specified bank notes not applicable to the company for the year ended</t>
        </is>
      </c>
    </row>
    <row r="11">
      <c r="A11" s="35" t="n">
        <v>10</v>
      </c>
      <c r="B11" s="36" t="inlineStr">
        <is>
          <t>March 31, For P V RAMANA REDDY &amp; CO Firm Regn. No. 007156S</t>
        </is>
      </c>
      <c r="C11" s="35" t="inlineStr">
        <is>
          <t>31</t>
        </is>
      </c>
      <c r="D11" s="37" t="inlineStr">
        <is>
          <t>2018</t>
        </is>
      </c>
      <c r="E11" s="37" t="inlineStr"/>
      <c r="F11" s="35" t="n">
        <v>0</v>
      </c>
      <c r="G11" s="35" t="inlineStr"/>
      <c r="H11" s="35" t="inlineStr"/>
      <c r="I11" s="38" t="inlineStr">
        <is>
          <t>March 31, 2018 | For P V RAMANA REDDY &amp; CO</t>
        </is>
      </c>
    </row>
    <row r="12">
      <c r="A12" s="35" t="n">
        <v>11</v>
      </c>
      <c r="B12" s="36" t="inlineStr">
        <is>
          <t>Sd/- Date : May 30, 2018 Proprietor</t>
        </is>
      </c>
      <c r="C12" s="35" t="inlineStr"/>
      <c r="D12" s="37" t="inlineStr"/>
      <c r="E12" s="37" t="inlineStr"/>
      <c r="F12" s="35" t="n">
        <v>0</v>
      </c>
      <c r="G12" s="35" t="inlineStr"/>
      <c r="H12" s="35" t="inlineStr"/>
      <c r="I12" s="38" t="inlineStr">
        <is>
          <t>Sd/- | Date : May 30, 2018 Proprietor</t>
        </is>
      </c>
    </row>
    <row r="13">
      <c r="A13" s="35" t="n">
        <v>12</v>
      </c>
      <c r="B13" s="36" t="inlineStr">
        <is>
          <t>M.No.</t>
        </is>
      </c>
      <c r="C13" s="35" t="inlineStr"/>
      <c r="D13" s="37" t="inlineStr">
        <is>
          <t>204588</t>
        </is>
      </c>
      <c r="E13" s="37" t="inlineStr"/>
      <c r="F13" s="35" t="n">
        <v>0</v>
      </c>
      <c r="G13" s="35" t="inlineStr"/>
      <c r="H13" s="35" t="inlineStr"/>
      <c r="I13" s="38" t="inlineStr">
        <is>
          <t>M.No. 204588</t>
        </is>
      </c>
    </row>
    <row r="14">
      <c r="A14" s="39" t="n">
        <v>13</v>
      </c>
      <c r="B14" s="40" t="inlineStr">
        <is>
          <t>ANNEXURE A TO INDEPENDENT AUDITORS’ REPORT</t>
        </is>
      </c>
      <c r="C14" s="39" t="inlineStr"/>
      <c r="D14" s="41" t="inlineStr"/>
      <c r="E14" s="41" t="inlineStr"/>
      <c r="F14" s="39" t="n">
        <v>0</v>
      </c>
      <c r="G14" s="39" t="inlineStr">
        <is>
          <t>Yes</t>
        </is>
      </c>
      <c r="H14" s="39" t="inlineStr"/>
      <c r="I14" s="42" t="inlineStr">
        <is>
          <t>ANNEXURE A TO INDEPENDENT AUDITORS’ REPORT</t>
        </is>
      </c>
    </row>
    <row r="15">
      <c r="A15" s="35" t="n">
        <v>14</v>
      </c>
      <c r="B15" s="36" t="inlineStr">
        <is>
          <t>Referred to in paragraph 11(f) of the Independent Auditors’ Report of even date to the members of</t>
        </is>
      </c>
      <c r="C15" s="35" t="inlineStr"/>
      <c r="D15" s="37" t="inlineStr"/>
      <c r="E15" s="37" t="inlineStr"/>
      <c r="F15" s="35" t="n">
        <v>0</v>
      </c>
      <c r="G15" s="35" t="inlineStr"/>
      <c r="H15" s="35" t="inlineStr"/>
      <c r="I15" s="38" t="inlineStr">
        <is>
          <t>Referred to in paragraph 11(f) of the Independent Auditors’ Report of even date to the members of</t>
        </is>
      </c>
    </row>
    <row r="16">
      <c r="A16" s="35" t="n">
        <v>15</v>
      </c>
      <c r="B16" s="36" t="inlineStr">
        <is>
          <t>Rajesh Exports Limited on the standalone financial statements for the year ended March 31,</t>
        </is>
      </c>
      <c r="C16" s="35" t="inlineStr">
        <is>
          <t>31</t>
        </is>
      </c>
      <c r="D16" s="37" t="inlineStr">
        <is>
          <t>2018</t>
        </is>
      </c>
      <c r="E16" s="37" t="inlineStr"/>
      <c r="F16" s="35" t="n">
        <v>0</v>
      </c>
      <c r="G16" s="35" t="inlineStr"/>
      <c r="H16" s="35" t="inlineStr"/>
      <c r="I16" s="38" t="inlineStr">
        <is>
          <t>Rajesh Exports Limited on the standalone financial statements for the year ended March 31, 2018</t>
        </is>
      </c>
    </row>
    <row r="17">
      <c r="A17" s="35" t="n">
        <v>16</v>
      </c>
      <c r="B17" s="36" t="inlineStr">
        <is>
          <t>Reports of the Internal Financial controls under Clause (i) of sub section 3 of section 143 of the Act</t>
        </is>
      </c>
      <c r="C17" s="35" t="inlineStr"/>
      <c r="D17" s="37" t="inlineStr"/>
      <c r="E17" s="37" t="inlineStr"/>
      <c r="F17" s="35" t="n">
        <v>0</v>
      </c>
      <c r="G17" s="35" t="inlineStr"/>
      <c r="H17" s="35" t="inlineStr"/>
      <c r="I17" s="38" t="inlineStr">
        <is>
          <t>Reports of the Internal Financial controls under Clause (i) of sub section 3 of section 143 of the Act</t>
        </is>
      </c>
    </row>
    <row r="18">
      <c r="A18" s="35" t="n">
        <v>17</v>
      </c>
      <c r="B18" s="36" t="inlineStr">
        <is>
          <t>1. We have audited the internal financial controls over financial reporting of Rajesh Exports</t>
        </is>
      </c>
      <c r="C18" s="35" t="inlineStr"/>
      <c r="D18" s="37" t="inlineStr"/>
      <c r="E18" s="37" t="inlineStr"/>
      <c r="F18" s="35" t="n">
        <v>0</v>
      </c>
      <c r="G18" s="35" t="inlineStr"/>
      <c r="H18" s="35" t="inlineStr"/>
      <c r="I18" s="38" t="inlineStr">
        <is>
          <t>1. We have audited the internal financial controls over financial reporting of Rajesh Exports</t>
        </is>
      </c>
    </row>
    <row r="19">
      <c r="A19" s="35" t="n">
        <v>18</v>
      </c>
      <c r="B19" s="36" t="inlineStr">
        <is>
          <t>Limited (the Company’’) as of March 31, 2018 in conjunction with our audit of the standalone financial statement of the company for the year ended on the date.</t>
        </is>
      </c>
      <c r="C19" s="35" t="inlineStr"/>
      <c r="D19" s="37" t="inlineStr"/>
      <c r="E19" s="37" t="inlineStr"/>
      <c r="F19" s="35" t="n">
        <v>0</v>
      </c>
      <c r="G19" s="35" t="inlineStr"/>
      <c r="H19" s="35" t="inlineStr"/>
      <c r="I19" s="38" t="inlineStr">
        <is>
          <t>Limited (the Company’’) as of March 31, 2018 in conjunction with our audit of the standalone | financial statement of the company for the year ended on the date.</t>
        </is>
      </c>
    </row>
    <row r="20">
      <c r="A20" s="35" t="n">
        <v>19</v>
      </c>
      <c r="B20" s="36" t="inlineStr">
        <is>
          <t>Management’s Responsibility for Internal Financial Controls:</t>
        </is>
      </c>
      <c r="C20" s="35" t="inlineStr"/>
      <c r="D20" s="37" t="inlineStr"/>
      <c r="E20" s="37" t="inlineStr"/>
      <c r="F20" s="35" t="n">
        <v>0</v>
      </c>
      <c r="G20" s="35" t="inlineStr"/>
      <c r="H20" s="35" t="inlineStr"/>
      <c r="I20" s="38" t="inlineStr">
        <is>
          <t>Management’s Responsibility for Internal Financial Controls:</t>
        </is>
      </c>
    </row>
    <row r="21">
      <c r="A21" s="35" t="n">
        <v>20</v>
      </c>
      <c r="B21" s="36" t="inlineStr">
        <is>
          <t>2. The Company’s management is responsible for establishing and maintaining internal financial controls based on the internal control over financial reporting criteria established by the Company, considering the essential components of internal control stated in the Guidance Note on Audit of Internal Financial</t>
        </is>
      </c>
      <c r="C21" s="35" t="inlineStr"/>
      <c r="D21" s="37" t="inlineStr"/>
      <c r="E21" s="37" t="inlineStr"/>
      <c r="F21" s="35" t="n">
        <v>0</v>
      </c>
      <c r="G21" s="35" t="inlineStr"/>
      <c r="H21" s="35" t="inlineStr"/>
      <c r="I21" s="38" t="inlineStr">
        <is>
          <t>2. The Company’s management is responsible for establishing and maintaining internal financial controls | based on the internal control over financial reporting criteria established by the Company, considering</t>
        </is>
      </c>
    </row>
    <row r="22">
      <c r="A22" s="35" t="n">
        <v>21</v>
      </c>
      <c r="B22" s="36" t="inlineStr">
        <is>
          <t>These responsibilities include the design, implementation and maintenance of adequate internal financial controls that were operating effectively for ensuring the orderly and efficient conduct of its business, including adherence to company’s policies, the safeguarding of its assets, the prevention and detection of frauds and errors, the accuracy and completeness of the accounting records, and the timely preparation of reliable financial information, as required under the Act.</t>
        </is>
      </c>
      <c r="C22" s="35" t="inlineStr"/>
      <c r="D22" s="37" t="inlineStr"/>
      <c r="E22" s="37" t="inlineStr"/>
      <c r="F22" s="35" t="n">
        <v>0</v>
      </c>
      <c r="G22" s="35" t="inlineStr"/>
      <c r="H22" s="35" t="inlineStr"/>
      <c r="I22" s="38" t="inlineStr">
        <is>
          <t>These responsibilities include the design, implementation and maintenance of adequate internal financial | controls that were operating effectively for ensuring the orderly and efficient conduct of its business,</t>
        </is>
      </c>
    </row>
    <row r="23">
      <c r="A23" s="35" t="n">
        <v>22</v>
      </c>
      <c r="B23" s="36" t="inlineStr">
        <is>
          <t>Auditor Responsibility:</t>
        </is>
      </c>
      <c r="C23" s="35" t="inlineStr"/>
      <c r="D23" s="37" t="inlineStr"/>
      <c r="E23" s="37" t="inlineStr"/>
      <c r="F23" s="35" t="n">
        <v>0</v>
      </c>
      <c r="G23" s="35" t="inlineStr"/>
      <c r="H23" s="35" t="inlineStr"/>
      <c r="I23" s="38" t="inlineStr">
        <is>
          <t>Auditor Responsibility:</t>
        </is>
      </c>
    </row>
    <row r="24">
      <c r="A24" s="35" t="n">
        <v>23</v>
      </c>
      <c r="B24" s="36" t="inlineStr">
        <is>
          <t>3. Our responsibility is to express an opinion on the Company’s internal financial controls over financial reporting based on our audit. We conducted our audit in accordance with the Guidance Note on Audit of Internal Financial Controls Over Financial Reporting (the “Guidance Note”) and the Standards on</t>
        </is>
      </c>
      <c r="C24" s="35" t="inlineStr"/>
      <c r="D24" s="37" t="inlineStr"/>
      <c r="E24" s="37" t="inlineStr"/>
      <c r="F24" s="35" t="n">
        <v>0</v>
      </c>
      <c r="G24" s="35" t="inlineStr"/>
      <c r="H24" s="35" t="inlineStr"/>
      <c r="I24" s="38" t="inlineStr">
        <is>
          <t>3. Our responsibility is to express an opinion on the Company’s internal financial controls over financial | reporting based on our audit. We conducted our audit in accordance with the Guidance Note on Audit</t>
        </is>
      </c>
    </row>
    <row r="25">
      <c r="A25" s="35" t="n">
        <v>24</v>
      </c>
      <c r="B25" s="36" t="inlineStr">
        <is>
          <t>Auditing deemed to be prescribed under section 143(10) of the Act to the extent applicable to an audit of internal financial controls, applicable to an audit of internal financial controls and both issued by the</t>
        </is>
      </c>
      <c r="C25" s="35" t="inlineStr"/>
      <c r="D25" s="37" t="inlineStr"/>
      <c r="E25" s="37" t="inlineStr"/>
      <c r="F25" s="35" t="n">
        <v>0</v>
      </c>
      <c r="G25" s="35" t="inlineStr"/>
      <c r="H25" s="35" t="inlineStr"/>
      <c r="I25" s="38" t="inlineStr">
        <is>
          <t>Auditing deemed to be prescribed under section 143(10) of the Act to the extent applicable to an audit | of internal financial controls, applicable to an audit of internal financial controls and both issued by the</t>
        </is>
      </c>
    </row>
    <row r="26">
      <c r="A26" s="39" t="n">
        <v>25</v>
      </c>
      <c r="B26" s="40" t="inlineStr">
        <is>
          <t>STATEMENT OF STANDALONE PROFIT AND LOSS ACCOUNT</t>
        </is>
      </c>
      <c r="C26" s="39" t="inlineStr"/>
      <c r="D26" s="41" t="inlineStr"/>
      <c r="E26" s="41" t="inlineStr"/>
      <c r="F26" s="39" t="n">
        <v>0</v>
      </c>
      <c r="G26" s="39" t="inlineStr">
        <is>
          <t>Yes</t>
        </is>
      </c>
      <c r="H26" s="39" t="inlineStr"/>
      <c r="I26" s="42" t="inlineStr">
        <is>
          <t>STATEMENT OF STANDALONE PROFIT AND LOSS ACCOUNT</t>
        </is>
      </c>
    </row>
    <row r="27">
      <c r="A27" s="35" t="n">
        <v>26</v>
      </c>
      <c r="B27" s="36" t="inlineStr">
        <is>
          <t>FOR THE YEAR ENDED MARCH 31, (Rs. in lakhs)</t>
        </is>
      </c>
      <c r="C27" s="35" t="inlineStr">
        <is>
          <t>31</t>
        </is>
      </c>
      <c r="D27" s="37" t="inlineStr">
        <is>
          <t>2018</t>
        </is>
      </c>
      <c r="E27" s="37" t="inlineStr"/>
      <c r="F27" s="35" t="n">
        <v>0</v>
      </c>
      <c r="G27" s="35" t="inlineStr"/>
      <c r="H27" s="35" t="inlineStr"/>
      <c r="I27" s="38" t="inlineStr">
        <is>
          <t>FOR THE YEAR ENDED MARCH 31, 2018 | (Rs. in lakhs)</t>
        </is>
      </c>
    </row>
    <row r="28">
      <c r="A28" s="35" t="n">
        <v>27</v>
      </c>
      <c r="B28" s="36" t="inlineStr">
        <is>
          <t>Note No As on 31.03.2018 As on 31.03.2017</t>
        </is>
      </c>
      <c r="C28" s="35" t="inlineStr"/>
      <c r="D28" s="37" t="inlineStr"/>
      <c r="E28" s="37" t="inlineStr"/>
      <c r="F28" s="35" t="n">
        <v>0</v>
      </c>
      <c r="G28" s="35" t="inlineStr"/>
      <c r="H28" s="35" t="inlineStr"/>
      <c r="I28" s="38" t="inlineStr">
        <is>
          <t>Note No As on 31.03.2018 As on 31.03.2017</t>
        </is>
      </c>
    </row>
    <row r="29">
      <c r="A29" s="39" t="n">
        <v>28</v>
      </c>
      <c r="B29" s="40" t="inlineStr">
        <is>
          <t>REVENUE FROM OPERATIONS</t>
        </is>
      </c>
      <c r="C29" s="39" t="inlineStr"/>
      <c r="D29" s="41" t="inlineStr"/>
      <c r="E29" s="41" t="inlineStr"/>
      <c r="F29" s="39" t="n">
        <v>0</v>
      </c>
      <c r="G29" s="39" t="inlineStr">
        <is>
          <t>Yes</t>
        </is>
      </c>
      <c r="H29" s="39" t="inlineStr"/>
      <c r="I29" s="42" t="inlineStr">
        <is>
          <t>REVENUE FROM OPERATIONS</t>
        </is>
      </c>
    </row>
    <row r="30">
      <c r="A30" s="35" t="n">
        <v>29</v>
      </c>
      <c r="B30" s="36" t="inlineStr">
        <is>
          <t>Revenue from Operations 19</t>
        </is>
      </c>
      <c r="C30" s="35" t="inlineStr">
        <is>
          <t>19</t>
        </is>
      </c>
      <c r="D30" s="37" t="inlineStr">
        <is>
          <t>3,366,046.34</t>
        </is>
      </c>
      <c r="E30" s="37" t="inlineStr">
        <is>
          <t>4,494,773.47</t>
        </is>
      </c>
      <c r="F30" s="35" t="n">
        <v>0</v>
      </c>
      <c r="G30" s="35" t="inlineStr"/>
      <c r="H30" s="35" t="inlineStr"/>
      <c r="I30" s="38" t="inlineStr">
        <is>
          <t>Revenue from Operations 19 3,366,046.34 4,494,773.47</t>
        </is>
      </c>
    </row>
    <row r="31">
      <c r="A31" s="35" t="n">
        <v>30</v>
      </c>
      <c r="B31" s="36" t="inlineStr">
        <is>
          <t>Other Income 20</t>
        </is>
      </c>
      <c r="C31" s="35" t="inlineStr">
        <is>
          <t>20</t>
        </is>
      </c>
      <c r="D31" s="37" t="inlineStr">
        <is>
          <t>3,825.43</t>
        </is>
      </c>
      <c r="E31" s="37" t="inlineStr">
        <is>
          <t>4,367.19</t>
        </is>
      </c>
      <c r="F31" s="35" t="n">
        <v>0</v>
      </c>
      <c r="G31" s="35" t="inlineStr"/>
      <c r="H31" s="35" t="inlineStr"/>
      <c r="I31" s="38" t="inlineStr">
        <is>
          <t>Other Income 20 3,825.43 4,367.19</t>
        </is>
      </c>
    </row>
    <row r="32">
      <c r="A32" s="44" t="n">
        <v>31</v>
      </c>
      <c r="B32" s="45" t="inlineStr">
        <is>
          <t>TOTAL REVENUE</t>
        </is>
      </c>
      <c r="C32" s="44" t="inlineStr"/>
      <c r="D32" s="46" t="inlineStr">
        <is>
          <t>3,369,871.77</t>
        </is>
      </c>
      <c r="E32" s="46" t="inlineStr">
        <is>
          <t>4,499,140.66</t>
        </is>
      </c>
      <c r="F32" s="44" t="n">
        <v>0</v>
      </c>
      <c r="G32" s="44" t="inlineStr"/>
      <c r="H32" s="44" t="inlineStr">
        <is>
          <t>Yes</t>
        </is>
      </c>
      <c r="I32" s="47" t="inlineStr">
        <is>
          <t>TOTAL REVENUE 3,369,871.77 4,499,140.66</t>
        </is>
      </c>
    </row>
    <row r="33">
      <c r="A33" s="39" t="n">
        <v>32</v>
      </c>
      <c r="B33" s="40" t="inlineStr">
        <is>
          <t>EXPENSES</t>
        </is>
      </c>
      <c r="C33" s="39" t="inlineStr"/>
      <c r="D33" s="41" t="inlineStr"/>
      <c r="E33" s="41" t="inlineStr"/>
      <c r="F33" s="39" t="n">
        <v>0</v>
      </c>
      <c r="G33" s="39" t="inlineStr">
        <is>
          <t>Yes</t>
        </is>
      </c>
      <c r="H33" s="39" t="inlineStr"/>
      <c r="I33" s="42" t="inlineStr">
        <is>
          <t>EXPENSES</t>
        </is>
      </c>
    </row>
    <row r="34">
      <c r="A34" s="35" t="n">
        <v>33</v>
      </c>
      <c r="B34" s="36" t="inlineStr">
        <is>
          <t>Cost of Materials Consumed 21</t>
        </is>
      </c>
      <c r="C34" s="35" t="inlineStr">
        <is>
          <t>21</t>
        </is>
      </c>
      <c r="D34" s="37" t="inlineStr">
        <is>
          <t>3,273,107.20</t>
        </is>
      </c>
      <c r="E34" s="37" t="inlineStr">
        <is>
          <t>4,410,637.66</t>
        </is>
      </c>
      <c r="F34" s="35" t="n">
        <v>0</v>
      </c>
      <c r="G34" s="35" t="inlineStr"/>
      <c r="H34" s="35" t="inlineStr"/>
      <c r="I34" s="38" t="inlineStr">
        <is>
          <t>Cost of Materials Consumed 21 3,273,107.20 4,410,637.66</t>
        </is>
      </c>
    </row>
    <row r="35">
      <c r="A35" s="35" t="n">
        <v>34</v>
      </c>
      <c r="B35" s="36" t="inlineStr">
        <is>
          <t>Employee Benefit Expenses 22</t>
        </is>
      </c>
      <c r="C35" s="35" t="inlineStr">
        <is>
          <t>22</t>
        </is>
      </c>
      <c r="D35" s="37" t="inlineStr">
        <is>
          <t>619.13</t>
        </is>
      </c>
      <c r="E35" s="37" t="inlineStr">
        <is>
          <t>661.43</t>
        </is>
      </c>
      <c r="F35" s="35" t="n">
        <v>0</v>
      </c>
      <c r="G35" s="35" t="inlineStr"/>
      <c r="H35" s="35" t="inlineStr"/>
      <c r="I35" s="38" t="inlineStr">
        <is>
          <t>Employee Benefit Expenses 22 619.13 661.43</t>
        </is>
      </c>
    </row>
    <row r="36">
      <c r="A36" s="35" t="n">
        <v>35</v>
      </c>
      <c r="B36" s="36" t="inlineStr">
        <is>
          <t>Selling, Administrative and Other Expenses 23</t>
        </is>
      </c>
      <c r="C36" s="35" t="inlineStr">
        <is>
          <t>23</t>
        </is>
      </c>
      <c r="D36" s="37" t="inlineStr">
        <is>
          <t>4,072.75</t>
        </is>
      </c>
      <c r="E36" s="37" t="inlineStr">
        <is>
          <t>3,943.27</t>
        </is>
      </c>
      <c r="F36" s="35" t="n">
        <v>0</v>
      </c>
      <c r="G36" s="35" t="inlineStr"/>
      <c r="H36" s="35" t="inlineStr"/>
      <c r="I36" s="38" t="inlineStr">
        <is>
          <t>Selling, Administrative and Other Expenses 23 4,072.75 3,943.27</t>
        </is>
      </c>
    </row>
    <row r="37">
      <c r="A37" s="35" t="n">
        <v>36</v>
      </c>
      <c r="B37" s="36" t="inlineStr">
        <is>
          <t>Finance Costs 24</t>
        </is>
      </c>
      <c r="C37" s="35" t="inlineStr">
        <is>
          <t>24</t>
        </is>
      </c>
      <c r="D37" s="37" t="inlineStr">
        <is>
          <t>43,083.39</t>
        </is>
      </c>
      <c r="E37" s="37" t="inlineStr">
        <is>
          <t>35,107.82</t>
        </is>
      </c>
      <c r="F37" s="35" t="n">
        <v>0</v>
      </c>
      <c r="G37" s="35" t="inlineStr"/>
      <c r="H37" s="35" t="inlineStr"/>
      <c r="I37" s="38" t="inlineStr">
        <is>
          <t>Finance Costs 24 43,083.39 35,107.82</t>
        </is>
      </c>
    </row>
    <row r="38">
      <c r="A38" s="35" t="n">
        <v>37</v>
      </c>
      <c r="B38" s="36" t="inlineStr">
        <is>
          <t>Depreciation and Amortization Expenses 2</t>
        </is>
      </c>
      <c r="C38" s="35" t="inlineStr">
        <is>
          <t>2</t>
        </is>
      </c>
      <c r="D38" s="37" t="inlineStr">
        <is>
          <t>149.19</t>
        </is>
      </c>
      <c r="E38" s="37" t="inlineStr">
        <is>
          <t>184.85</t>
        </is>
      </c>
      <c r="F38" s="35" t="n">
        <v>0</v>
      </c>
      <c r="G38" s="35" t="inlineStr"/>
      <c r="H38" s="35" t="inlineStr"/>
      <c r="I38" s="38" t="inlineStr">
        <is>
          <t>Depreciation and Amortization Expenses 2 149.19 184.85</t>
        </is>
      </c>
    </row>
    <row r="39">
      <c r="A39" s="44" t="n">
        <v>38</v>
      </c>
      <c r="B39" s="45" t="inlineStr">
        <is>
          <t>TOTAL EXPENSES Profit / (Loss) before extraordinary &amp;</t>
        </is>
      </c>
      <c r="C39" s="44" t="inlineStr"/>
      <c r="D39" s="46" t="inlineStr">
        <is>
          <t>3,321,031.66</t>
        </is>
      </c>
      <c r="E39" s="46" t="inlineStr">
        <is>
          <t>4,450,535.03</t>
        </is>
      </c>
      <c r="F39" s="44" t="n">
        <v>0</v>
      </c>
      <c r="G39" s="44" t="inlineStr"/>
      <c r="H39" s="44" t="inlineStr">
        <is>
          <t>Yes</t>
        </is>
      </c>
      <c r="I39" s="47" t="inlineStr">
        <is>
          <t>TOTAL EXPENSES 3,321,031.66 4,450,535.03 | Profit / (Loss) before extraordinary &amp;</t>
        </is>
      </c>
    </row>
    <row r="40">
      <c r="A40" s="35" t="n">
        <v>39</v>
      </c>
      <c r="B40" s="36" t="inlineStr">
        <is>
          <t>exceptional items</t>
        </is>
      </c>
      <c r="C40" s="35" t="inlineStr"/>
      <c r="D40" s="37" t="inlineStr">
        <is>
          <t>48,840.11</t>
        </is>
      </c>
      <c r="E40" s="37" t="inlineStr">
        <is>
          <t>48,605.63</t>
        </is>
      </c>
      <c r="F40" s="35" t="n">
        <v>0</v>
      </c>
      <c r="G40" s="35" t="inlineStr"/>
      <c r="H40" s="35" t="inlineStr"/>
      <c r="I40" s="38" t="inlineStr">
        <is>
          <t>exceptional items 48,840.11 48,605.63</t>
        </is>
      </c>
    </row>
    <row r="41">
      <c r="A41" s="35" t="n">
        <v>40</v>
      </c>
      <c r="B41" s="36" t="inlineStr">
        <is>
          <t>Extraordinary items - gain / (loss)</t>
        </is>
      </c>
      <c r="C41" s="35" t="inlineStr"/>
      <c r="D41" s="37" t="inlineStr">
        <is>
          <t>-</t>
        </is>
      </c>
      <c r="E41" s="37" t="inlineStr">
        <is>
          <t>-</t>
        </is>
      </c>
      <c r="F41" s="35" t="n">
        <v>0</v>
      </c>
      <c r="G41" s="35" t="inlineStr"/>
      <c r="H41" s="35" t="inlineStr"/>
      <c r="I41" s="38" t="inlineStr">
        <is>
          <t>Extraordinary items - gain / (loss) - -</t>
        </is>
      </c>
    </row>
    <row r="42">
      <c r="A42" s="35" t="n">
        <v>41</v>
      </c>
      <c r="B42" s="36" t="inlineStr">
        <is>
          <t>Exceptional items - gain / (loss)</t>
        </is>
      </c>
      <c r="C42" s="35" t="inlineStr"/>
      <c r="D42" s="37" t="inlineStr">
        <is>
          <t>-</t>
        </is>
      </c>
      <c r="E42" s="37" t="inlineStr">
        <is>
          <t>-</t>
        </is>
      </c>
      <c r="F42" s="35" t="n">
        <v>0</v>
      </c>
      <c r="G42" s="35" t="inlineStr"/>
      <c r="H42" s="35" t="inlineStr"/>
      <c r="I42" s="38" t="inlineStr">
        <is>
          <t>Exceptional items - gain / (loss) - -</t>
        </is>
      </c>
    </row>
    <row r="43">
      <c r="A43" s="35" t="n">
        <v>42</v>
      </c>
      <c r="B43" s="36" t="inlineStr">
        <is>
          <t>Profit Before Tax - PBT</t>
        </is>
      </c>
      <c r="C43" s="35" t="inlineStr"/>
      <c r="D43" s="37" t="inlineStr">
        <is>
          <t>48,840.11</t>
        </is>
      </c>
      <c r="E43" s="37" t="inlineStr">
        <is>
          <t>48,605.63</t>
        </is>
      </c>
      <c r="F43" s="35" t="n">
        <v>0</v>
      </c>
      <c r="G43" s="35" t="inlineStr"/>
      <c r="H43" s="35" t="inlineStr"/>
      <c r="I43" s="38" t="inlineStr">
        <is>
          <t>Profit Before Tax - PBT 48,840.11 48,605.63</t>
        </is>
      </c>
    </row>
    <row r="44">
      <c r="A44" s="35" t="n">
        <v>43</v>
      </c>
      <c r="B44" s="36" t="inlineStr">
        <is>
          <t>Tax expense:</t>
        </is>
      </c>
      <c r="C44" s="35" t="inlineStr"/>
      <c r="D44" s="37" t="inlineStr"/>
      <c r="E44" s="37" t="inlineStr"/>
      <c r="F44" s="35" t="n">
        <v>0</v>
      </c>
      <c r="G44" s="35" t="inlineStr"/>
      <c r="H44" s="35" t="inlineStr"/>
      <c r="I44" s="38" t="inlineStr">
        <is>
          <t>Tax expense:</t>
        </is>
      </c>
    </row>
    <row r="45">
      <c r="A45" s="35" t="n">
        <v>44</v>
      </c>
      <c r="B45" s="36" t="inlineStr">
        <is>
          <t>Current tax expense for current year</t>
        </is>
      </c>
      <c r="C45" s="35" t="inlineStr"/>
      <c r="D45" s="37" t="inlineStr">
        <is>
          <t>4,722.75</t>
        </is>
      </c>
      <c r="E45" s="37" t="inlineStr">
        <is>
          <t>1,926.62</t>
        </is>
      </c>
      <c r="F45" s="35" t="n">
        <v>0</v>
      </c>
      <c r="G45" s="35" t="inlineStr"/>
      <c r="H45" s="35" t="inlineStr"/>
      <c r="I45" s="38" t="inlineStr">
        <is>
          <t>Current tax expense for current year 4,722.75 1,926.62</t>
        </is>
      </c>
    </row>
    <row r="46">
      <c r="A46" s="35" t="n">
        <v>45</v>
      </c>
      <c r="B46" s="36" t="inlineStr">
        <is>
          <t>Deferred tax expense / (income)</t>
        </is>
      </c>
      <c r="C46" s="35" t="inlineStr"/>
      <c r="D46" s="37" t="inlineStr">
        <is>
          <t>(1.02)</t>
        </is>
      </c>
      <c r="E46" s="37" t="inlineStr">
        <is>
          <t>544.92</t>
        </is>
      </c>
      <c r="F46" s="35" t="n">
        <v>0</v>
      </c>
      <c r="G46" s="35" t="inlineStr"/>
      <c r="H46" s="35" t="inlineStr"/>
      <c r="I46" s="38" t="inlineStr">
        <is>
          <t>Deferred tax expense / (income) (1.02) 544.92</t>
        </is>
      </c>
    </row>
    <row r="47">
      <c r="A47" s="35" t="n">
        <v>46</v>
      </c>
      <c r="B47" s="36" t="inlineStr">
        <is>
          <t>PROFIT FOR THE YEAR</t>
        </is>
      </c>
      <c r="C47" s="35" t="inlineStr"/>
      <c r="D47" s="37" t="inlineStr">
        <is>
          <t>44,118.38</t>
        </is>
      </c>
      <c r="E47" s="37" t="inlineStr">
        <is>
          <t>46,134.09</t>
        </is>
      </c>
      <c r="F47" s="35" t="n">
        <v>0</v>
      </c>
      <c r="G47" s="35" t="inlineStr"/>
      <c r="H47" s="35" t="inlineStr"/>
      <c r="I47" s="38" t="inlineStr">
        <is>
          <t>PROFIT FOR THE YEAR 44,118.38 46,134.09</t>
        </is>
      </c>
    </row>
    <row r="48">
      <c r="A48" s="35" t="n">
        <v>47</v>
      </c>
      <c r="B48" s="36" t="inlineStr">
        <is>
          <t>Earning Per Share (Re. 1 Per Share for Each)</t>
        </is>
      </c>
      <c r="C48" s="35" t="inlineStr"/>
      <c r="D48" s="37" t="inlineStr"/>
      <c r="E48" s="37" t="inlineStr"/>
      <c r="F48" s="35" t="n">
        <v>0</v>
      </c>
      <c r="G48" s="35" t="inlineStr"/>
      <c r="H48" s="35" t="inlineStr"/>
      <c r="I48" s="38" t="inlineStr">
        <is>
          <t>Earning Per Share (Re. 1 Per Share for Each)</t>
        </is>
      </c>
    </row>
    <row r="49">
      <c r="A49" s="35" t="n">
        <v>48</v>
      </c>
      <c r="B49" s="36" t="inlineStr">
        <is>
          <t>Basic</t>
        </is>
      </c>
      <c r="C49" s="35" t="inlineStr"/>
      <c r="D49" s="37" t="inlineStr">
        <is>
          <t>14.94</t>
        </is>
      </c>
      <c r="E49" s="37" t="inlineStr">
        <is>
          <t>15.62</t>
        </is>
      </c>
      <c r="F49" s="35" t="n">
        <v>0</v>
      </c>
      <c r="G49" s="35" t="inlineStr"/>
      <c r="H49" s="35" t="inlineStr"/>
      <c r="I49" s="38" t="inlineStr">
        <is>
          <t>Basic 14.94 15.62</t>
        </is>
      </c>
    </row>
    <row r="50">
      <c r="A50" s="35" t="n">
        <v>49</v>
      </c>
      <c r="B50" s="36" t="inlineStr">
        <is>
          <t>Diluted</t>
        </is>
      </c>
      <c r="C50" s="35" t="inlineStr"/>
      <c r="D50" s="37" t="inlineStr">
        <is>
          <t>14.94</t>
        </is>
      </c>
      <c r="E50" s="37" t="inlineStr">
        <is>
          <t>15.62</t>
        </is>
      </c>
      <c r="F50" s="35" t="n">
        <v>0</v>
      </c>
      <c r="G50" s="35" t="inlineStr"/>
      <c r="H50" s="35" t="inlineStr"/>
      <c r="I50" s="38" t="inlineStr">
        <is>
          <t>Diluted 14.94 15.62</t>
        </is>
      </c>
    </row>
    <row r="51">
      <c r="A51" s="35" t="n">
        <v>50</v>
      </c>
      <c r="B51" s="36" t="inlineStr">
        <is>
          <t>Company Information and significant accounting Polices</t>
        </is>
      </c>
      <c r="C51" s="35" t="inlineStr"/>
      <c r="D51" s="37" t="inlineStr">
        <is>
          <t>1</t>
        </is>
      </c>
      <c r="E51" s="37" t="inlineStr"/>
      <c r="F51" s="35" t="n">
        <v>0</v>
      </c>
      <c r="G51" s="35" t="inlineStr"/>
      <c r="H51" s="35" t="inlineStr"/>
      <c r="I51" s="38" t="inlineStr">
        <is>
          <t>Company Information and significant accounting Polices 1</t>
        </is>
      </c>
    </row>
    <row r="52">
      <c r="A52" s="35" t="n">
        <v>51</v>
      </c>
      <c r="B52" s="36" t="inlineStr">
        <is>
          <t>Accompanying notes are an integral part of these financial statements For P V RAMANA REDDY &amp; CO</t>
        </is>
      </c>
      <c r="C52" s="35" t="inlineStr"/>
      <c r="D52" s="37" t="inlineStr"/>
      <c r="E52" s="37" t="inlineStr"/>
      <c r="F52" s="35" t="n">
        <v>0</v>
      </c>
      <c r="G52" s="35" t="inlineStr"/>
      <c r="H52" s="35" t="inlineStr"/>
      <c r="I52" s="38" t="inlineStr">
        <is>
          <t>Accompanying notes are an integral part of these financial statements | For P V RAMANA REDDY &amp; CO</t>
        </is>
      </c>
    </row>
    <row r="53">
      <c r="A53" s="35" t="n">
        <v>52</v>
      </c>
      <c r="B53" s="36" t="inlineStr">
        <is>
          <t>DIN : 00336457 DIN : 00336417 M.No. A35258</t>
        </is>
      </c>
      <c r="C53" s="35" t="inlineStr"/>
      <c r="D53" s="37" t="inlineStr"/>
      <c r="E53" s="37" t="inlineStr"/>
      <c r="F53" s="35" t="n">
        <v>0</v>
      </c>
      <c r="G53" s="35" t="inlineStr"/>
      <c r="H53" s="35" t="inlineStr"/>
      <c r="I53" s="38" t="inlineStr">
        <is>
          <t>DIN : 00336457 DIN : 00336417 M.No. A35258</t>
        </is>
      </c>
    </row>
    <row r="54">
      <c r="A54" s="35" t="n">
        <v>53</v>
      </c>
      <c r="B54" s="36" t="inlineStr">
        <is>
          <t>Sd/-</t>
        </is>
      </c>
      <c r="C54" s="35" t="inlineStr"/>
      <c r="D54" s="37" t="inlineStr"/>
      <c r="E54" s="37" t="inlineStr"/>
      <c r="F54" s="35" t="n">
        <v>0</v>
      </c>
      <c r="G54" s="35" t="inlineStr"/>
      <c r="H54" s="35" t="inlineStr"/>
      <c r="I54" s="38" t="inlineStr">
        <is>
          <t>Sd/-</t>
        </is>
      </c>
    </row>
    <row r="55">
      <c r="A55" s="39" t="n">
        <v>54</v>
      </c>
      <c r="B55" s="40" t="inlineStr">
        <is>
          <t>VIJAYA LAKSHMI (CA. P V RAMANA REDDY)</t>
        </is>
      </c>
      <c r="C55" s="39" t="inlineStr"/>
      <c r="D55" s="41" t="inlineStr"/>
      <c r="E55" s="41" t="inlineStr"/>
      <c r="F55" s="39" t="n">
        <v>0</v>
      </c>
      <c r="G55" s="39" t="inlineStr">
        <is>
          <t>Yes</t>
        </is>
      </c>
      <c r="H55" s="39" t="inlineStr"/>
      <c r="I55" s="42" t="inlineStr">
        <is>
          <t>VIJAYA LAKSHMI (CA. P V RAMANA REDDY)</t>
        </is>
      </c>
    </row>
    <row r="56">
      <c r="A56" s="35" t="n">
        <v>55</v>
      </c>
      <c r="B56" s="36" t="inlineStr">
        <is>
          <t>Date : May 30, 2018 DIN : 071460 CFO M.No.</t>
        </is>
      </c>
      <c r="C56" s="35" t="inlineStr"/>
      <c r="D56" s="37" t="inlineStr">
        <is>
          <t>204588</t>
        </is>
      </c>
      <c r="E56" s="37" t="inlineStr"/>
      <c r="F56" s="35" t="n">
        <v>0</v>
      </c>
      <c r="G56" s="35" t="inlineStr"/>
      <c r="H56" s="35" t="inlineStr"/>
      <c r="I56" s="38" t="inlineStr">
        <is>
          <t>Date : May 30, 2018 DIN : 071460 CFO M.No. 204588</t>
        </is>
      </c>
    </row>
    <row r="58">
      <c r="A58" s="48" t="inlineStr">
        <is>
          <t>Source Pages:</t>
        </is>
      </c>
      <c r="B58" s="49" t="inlineStr">
        <is>
          <t>48, 53</t>
        </is>
      </c>
    </row>
    <row r="59">
      <c r="A59" s="48" t="inlineStr">
        <is>
          <t>Unit:</t>
        </is>
      </c>
      <c r="B59" s="49" t="inlineStr">
        <is>
          <t>₹ in Lakhs</t>
        </is>
      </c>
    </row>
  </sheetData>
  <autoFilter ref="A1:I5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80"/>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2013</t>
        </is>
      </c>
      <c r="E1" s="34" t="inlineStr">
        <is>
          <t>as at March 31st 2018</t>
        </is>
      </c>
      <c r="F1" s="34" t="inlineStr">
        <is>
          <t>Indent</t>
        </is>
      </c>
      <c r="G1" s="34" t="inlineStr">
        <is>
          <t>Section Header</t>
        </is>
      </c>
      <c r="H1" s="34" t="inlineStr">
        <is>
          <t>Total Row</t>
        </is>
      </c>
      <c r="I1" s="34" t="inlineStr">
        <is>
          <t>Raw Text</t>
        </is>
      </c>
    </row>
    <row r="2">
      <c r="A2" s="35" t="n">
        <v>1</v>
      </c>
      <c r="B2" s="36" t="inlineStr">
        <is>
          <t>Comprehensive Income), the Cash Flow Statement and the Statement of Changes in Equity for the year then ended, and a summary of the significant accounting policies and other explanatory information.</t>
        </is>
      </c>
      <c r="C2" s="35" t="inlineStr"/>
      <c r="D2" s="37" t="inlineStr"/>
      <c r="E2" s="37" t="inlineStr"/>
      <c r="F2" s="35" t="n">
        <v>0</v>
      </c>
      <c r="G2" s="35" t="inlineStr"/>
      <c r="H2" s="35" t="inlineStr"/>
      <c r="I2" s="38" t="inlineStr">
        <is>
          <t>Comprehensive Income), the Cash Flow Statement and the Statement of Changes in Equity for the year then | ended, and a summary of the significant accounting policies and other explanatory information.</t>
        </is>
      </c>
    </row>
    <row r="3">
      <c r="A3" s="35" t="n">
        <v>2</v>
      </c>
      <c r="B3" s="36" t="inlineStr">
        <is>
          <t>Management’s Responsibility for the Standalone Ind AS Financial Statements</t>
        </is>
      </c>
      <c r="C3" s="35" t="inlineStr"/>
      <c r="D3" s="37" t="inlineStr"/>
      <c r="E3" s="37" t="inlineStr"/>
      <c r="F3" s="35" t="n">
        <v>0</v>
      </c>
      <c r="G3" s="35" t="inlineStr"/>
      <c r="H3" s="35" t="inlineStr"/>
      <c r="I3" s="38" t="inlineStr">
        <is>
          <t>Management’s Responsibility for the Standalone Ind AS Financial Statements</t>
        </is>
      </c>
    </row>
    <row r="4">
      <c r="A4" s="35" t="n">
        <v>3</v>
      </c>
      <c r="B4" s="36" t="inlineStr">
        <is>
          <t>2. The Company’s Board of Directors is responsible for the matters stated in Section 134(5) of the Companies Act,</t>
        </is>
      </c>
      <c r="C4" s="35" t="inlineStr"/>
      <c r="D4" s="37" t="inlineStr"/>
      <c r="E4" s="37" t="inlineStr"/>
      <c r="F4" s="35" t="n">
        <v>0</v>
      </c>
      <c r="G4" s="35" t="inlineStr"/>
      <c r="H4" s="35" t="inlineStr"/>
      <c r="I4" s="38" t="inlineStr">
        <is>
          <t>2. The Company’s Board of Directors is responsible for the matters stated in Section 134(5) of the Companies Act,</t>
        </is>
      </c>
    </row>
    <row r="5">
      <c r="A5" s="35" t="n">
        <v>4</v>
      </c>
      <c r="B5" s="36" t="inlineStr">
        <is>
          <t>2013 (“the Act”) with respect to the preparation of these standalone Ind AS financial statements to give a true and fair view of the financial position, financial performance (including other comprehensive income), cash flows and changes in equity of the Company in accordance with the accounting principles generally accepted in India,</t>
        </is>
      </c>
      <c r="C5" s="35" t="inlineStr"/>
      <c r="D5" s="37" t="inlineStr"/>
      <c r="E5" s="37" t="inlineStr"/>
      <c r="F5" s="35" t="n">
        <v>0</v>
      </c>
      <c r="G5" s="35" t="inlineStr"/>
      <c r="H5" s="35" t="inlineStr"/>
      <c r="I5" s="38" t="inlineStr">
        <is>
          <t>2013 (“the Act”) with respect to the preparation of these standalone Ind AS financial statements to give a true | and fair view of the financial position, financial performance (including other comprehensive income), cash flows</t>
        </is>
      </c>
    </row>
    <row r="6">
      <c r="A6" s="35" t="n">
        <v>5</v>
      </c>
      <c r="B6" s="36" t="inlineStr">
        <is>
          <t>including the Indian Accounting Standards specified in the Companies (Indian Accounting Standards) Rules,</t>
        </is>
      </c>
      <c r="C6" s="35" t="inlineStr"/>
      <c r="D6" s="37" t="inlineStr">
        <is>
          <t>2015</t>
        </is>
      </c>
      <c r="E6" s="37" t="inlineStr"/>
      <c r="F6" s="35" t="n">
        <v>0</v>
      </c>
      <c r="G6" s="35" t="inlineStr"/>
      <c r="H6" s="35" t="inlineStr"/>
      <c r="I6" s="38" t="inlineStr">
        <is>
          <t>including the Indian Accounting Standards specified in the Companies (Indian Accounting Standards) Rules, 2015</t>
        </is>
      </c>
    </row>
    <row r="7">
      <c r="A7" s="35" t="n">
        <v>6</v>
      </c>
      <c r="B7" s="36" t="inlineStr">
        <is>
          <t>(as amended) under Section 133 of the Act. This responsibility also includes maintenance of adequate accounting records in accordance with the provisions of the Act for safeguarding of the assets of the Company and for preventing and detecting frauds and other irregularities; selection and application of appropriate accounting policies; making judgments and estimates that are reasonable and prudent; and design, implementation and maintenance of adequate internal financial controls, that were operating effectively for ensuring the accuracy and completeness of the accounting records, relevant to the preparation and presentation of the standalone Ind AS financial statements that give a true and fair view and are free from material misstatement, whether due to fraud or error.</t>
        </is>
      </c>
      <c r="C7" s="35" t="inlineStr"/>
      <c r="D7" s="37" t="inlineStr"/>
      <c r="E7" s="37" t="inlineStr"/>
      <c r="F7" s="35" t="n">
        <v>0</v>
      </c>
      <c r="G7" s="35" t="inlineStr"/>
      <c r="H7" s="35" t="inlineStr"/>
      <c r="I7" s="38" t="inlineStr">
        <is>
          <t>(as amended) under Section 133 of the Act. This responsibility also includes maintenance of adequate accounting | records in accordance with the provisions of the Act for safeguarding of the assets of the Company and for preventing</t>
        </is>
      </c>
    </row>
    <row r="8">
      <c r="A8" s="35" t="n">
        <v>7</v>
      </c>
      <c r="B8" s="36" t="inlineStr">
        <is>
          <t>Auditor’s Responsibility</t>
        </is>
      </c>
      <c r="C8" s="35" t="inlineStr"/>
      <c r="D8" s="37" t="inlineStr"/>
      <c r="E8" s="37" t="inlineStr"/>
      <c r="F8" s="35" t="n">
        <v>0</v>
      </c>
      <c r="G8" s="35" t="inlineStr"/>
      <c r="H8" s="35" t="inlineStr"/>
      <c r="I8" s="38" t="inlineStr">
        <is>
          <t>Auditor’s Responsibility</t>
        </is>
      </c>
    </row>
    <row r="9">
      <c r="A9" s="35" t="n">
        <v>8</v>
      </c>
      <c r="B9" s="36" t="inlineStr">
        <is>
          <t>3. Our responsibility is to express an opinion on these standalone Ind AS financial statements based on our audit.</t>
        </is>
      </c>
      <c r="C9" s="35" t="inlineStr"/>
      <c r="D9" s="37" t="inlineStr"/>
      <c r="E9" s="37" t="inlineStr"/>
      <c r="F9" s="35" t="n">
        <v>0</v>
      </c>
      <c r="G9" s="35" t="inlineStr"/>
      <c r="H9" s="35" t="inlineStr"/>
      <c r="I9" s="38" t="inlineStr">
        <is>
          <t>3. Our responsibility is to express an opinion on these standalone Ind AS financial statements based on our audit.</t>
        </is>
      </c>
    </row>
    <row r="10">
      <c r="A10" s="35" t="n">
        <v>9</v>
      </c>
      <c r="B10" s="36" t="inlineStr">
        <is>
          <t>4. We have taken into account the provisions of the Act and the Rules made thereunder including the accounting and auditing standards and matters which are required to be included in the audit report under the provisions of the</t>
        </is>
      </c>
      <c r="C10" s="35" t="inlineStr"/>
      <c r="D10" s="37" t="inlineStr"/>
      <c r="E10" s="37" t="inlineStr"/>
      <c r="F10" s="35" t="n">
        <v>0</v>
      </c>
      <c r="G10" s="35" t="inlineStr"/>
      <c r="H10" s="35" t="inlineStr"/>
      <c r="I10" s="38" t="inlineStr">
        <is>
          <t>4. We have taken into account the provisions of the Act and the Rules made thereunder including the accounting and | auditing standards and matters which are required to be included in the audit report under the provisions of the</t>
        </is>
      </c>
    </row>
    <row r="11">
      <c r="A11" s="35" t="n">
        <v>10</v>
      </c>
      <c r="B11" s="36" t="inlineStr">
        <is>
          <t>Act and the Rules made thereunder</t>
        </is>
      </c>
      <c r="C11" s="35" t="inlineStr"/>
      <c r="D11" s="37" t="inlineStr"/>
      <c r="E11" s="37" t="inlineStr"/>
      <c r="F11" s="35" t="n">
        <v>0</v>
      </c>
      <c r="G11" s="35" t="inlineStr"/>
      <c r="H11" s="35" t="inlineStr"/>
      <c r="I11" s="38" t="inlineStr">
        <is>
          <t>Act and the Rules made thereunder</t>
        </is>
      </c>
    </row>
    <row r="12">
      <c r="A12" s="35" t="n">
        <v>11</v>
      </c>
      <c r="B12" s="36" t="inlineStr">
        <is>
          <t>5. We conducted our audit of the standalone Ind AS financial statements in accordance with the Standards on Auditing specified under Section 143(10) of the Act and other applicable authoritative pronouncements issued by the Institute requirements and plan and perform the audit to obtain reasonable assurance about whether the standalone Ind AS financial statements are free from material misstatement. We are also responsible to conclude on the appropriateness of management’s use of the going concern basis of accounting and, based on the audit evidence obtained, whether a material uncertainty exists related to events or conditions that may cast significant doubt on the entity’s ability to continue as a going concern. If we conclude that a material uncertainty exists, we are required to draw attention in the auditor’s report to the related disclosures in the financial statements or, if such disclosures are inadequate, to modify the opinion. Our conclusions are based on the audit evidence obtained up to the date of the auditor’s report. However, future events or conditions may cause an entity to cease to continue as a going concern.</t>
        </is>
      </c>
      <c r="C12" s="35" t="inlineStr"/>
      <c r="D12" s="37" t="inlineStr"/>
      <c r="E12" s="37" t="inlineStr"/>
      <c r="F12" s="35" t="n">
        <v>0</v>
      </c>
      <c r="G12" s="35" t="inlineStr"/>
      <c r="H12" s="35" t="inlineStr"/>
      <c r="I12" s="38" t="inlineStr">
        <is>
          <t>5. We conducted our audit of the standalone Ind AS financial statements in accordance with the Standards on Auditing | specified under Section 143(10) of the Act and other applicable authoritative pronouncements issued by the Institute</t>
        </is>
      </c>
    </row>
    <row r="13">
      <c r="A13" s="35" t="n">
        <v>12</v>
      </c>
      <c r="B13" s="36" t="inlineStr">
        <is>
          <t>6. An audit involves performing procedures to obtain audit evidence about the amounts and the disclosures in the standalone Ind AS financial statements. The procedures selected depend on the auditors’ judgment, including the assessment of the risks of material misstatement of the standalone Ind AS financial statements, whether due to fraud or error. In making those risk assessments, the auditor considers internal financial control relevant to the</t>
        </is>
      </c>
      <c r="C13" s="35" t="inlineStr"/>
      <c r="D13" s="37" t="inlineStr"/>
      <c r="E13" s="37" t="inlineStr"/>
      <c r="F13" s="35" t="n">
        <v>0</v>
      </c>
      <c r="G13" s="35" t="inlineStr"/>
      <c r="H13" s="35" t="inlineStr"/>
      <c r="I13" s="38" t="inlineStr">
        <is>
          <t>6. An audit involves performing procedures to obtain audit evidence about the amounts and the disclosures in the | standalone Ind AS financial statements. The procedures selected depend on the auditors’ judgment, including the</t>
        </is>
      </c>
    </row>
    <row r="14">
      <c r="A14" s="35" t="n">
        <v>13</v>
      </c>
      <c r="B14" s="36" t="inlineStr">
        <is>
          <t>Company’s preparation of the standalone Ind AS financial statements that give a true and fair view, in order to design audit procedures that are appropriate in the circumstances. An audit also includes evaluating the appropriateness of the accounting policies used and the reasonableness of the accounting estimates made by the company’s Director, as well as evaluating the overall presentation of the standalone Ind AS Financial Statements.</t>
        </is>
      </c>
      <c r="C14" s="35" t="inlineStr"/>
      <c r="D14" s="37" t="inlineStr"/>
      <c r="E14" s="37" t="inlineStr"/>
      <c r="F14" s="35" t="n">
        <v>0</v>
      </c>
      <c r="G14" s="35" t="inlineStr"/>
      <c r="H14" s="35" t="inlineStr"/>
      <c r="I14" s="38" t="inlineStr">
        <is>
          <t>Company’s preparation of the standalone Ind AS financial statements that give a true and fair view, in order to design | audit procedures that are appropriate in the circumstances. An audit also includes evaluating the appropriateness</t>
        </is>
      </c>
    </row>
    <row r="15">
      <c r="A15" s="35" t="n">
        <v>14</v>
      </c>
      <c r="B15" s="36" t="inlineStr">
        <is>
          <t>7. We believe that the audit evidences we have obtained is sufficient and appropriate to provide as a basis for our audit opinion on the standalone Ind AS Financial Statement.</t>
        </is>
      </c>
      <c r="C15" s="35" t="inlineStr"/>
      <c r="D15" s="37" t="inlineStr"/>
      <c r="E15" s="37" t="inlineStr"/>
      <c r="F15" s="35" t="n">
        <v>0</v>
      </c>
      <c r="G15" s="35" t="inlineStr"/>
      <c r="H15" s="35" t="inlineStr"/>
      <c r="I15" s="38" t="inlineStr">
        <is>
          <t>7. We believe that the audit evidences we have obtained is sufficient and appropriate to provide as a basis for our | audit opinion on the standalone Ind AS Financial Statement.</t>
        </is>
      </c>
    </row>
    <row r="16">
      <c r="A16" s="35" t="n">
        <v>15</v>
      </c>
      <c r="B16" s="36" t="inlineStr">
        <is>
          <t>Opinion</t>
        </is>
      </c>
      <c r="C16" s="35" t="inlineStr"/>
      <c r="D16" s="37" t="inlineStr"/>
      <c r="E16" s="37" t="inlineStr"/>
      <c r="F16" s="35" t="n">
        <v>0</v>
      </c>
      <c r="G16" s="35" t="inlineStr"/>
      <c r="H16" s="35" t="inlineStr"/>
      <c r="I16" s="38" t="inlineStr">
        <is>
          <t>Opinion</t>
        </is>
      </c>
    </row>
    <row r="17">
      <c r="A17" s="35" t="n">
        <v>16</v>
      </c>
      <c r="B17" s="36" t="inlineStr">
        <is>
          <t>8. In our opinion and to the best of our information and according to the explanations given to us, the aforesaid standalone Ind AS financial statements give the information required by the Act in the manner so required and give a true and fair view in conformity with the accounting principles generally accepted in India, of the state of affairs of the company as at March 31st 2018, and it’s total comprehensive income (Comprising of profit and other</t>
        </is>
      </c>
      <c r="C17" s="35" t="inlineStr"/>
      <c r="D17" s="37" t="inlineStr"/>
      <c r="E17" s="37" t="inlineStr"/>
      <c r="F17" s="35" t="n">
        <v>0</v>
      </c>
      <c r="G17" s="35" t="inlineStr"/>
      <c r="H17" s="35" t="inlineStr"/>
      <c r="I17" s="38" t="inlineStr">
        <is>
          <t>8. In our opinion and to the best of our information and according to the explanations given to us, the aforesaid | standalone Ind AS financial statements give the information required by the Act in the manner so required and</t>
        </is>
      </c>
    </row>
    <row r="18">
      <c r="A18" s="35" t="n">
        <v>17</v>
      </c>
      <c r="B18" s="36" t="inlineStr">
        <is>
          <t>Comprehensive income), it’s Cash flow and the Change of equity for the year ended on that date.</t>
        </is>
      </c>
      <c r="C18" s="35" t="inlineStr"/>
      <c r="D18" s="37" t="inlineStr"/>
      <c r="E18" s="37" t="inlineStr"/>
      <c r="F18" s="35" t="n">
        <v>0</v>
      </c>
      <c r="G18" s="35" t="inlineStr"/>
      <c r="H18" s="35" t="inlineStr"/>
      <c r="I18" s="38" t="inlineStr">
        <is>
          <t>Comprehensive income), it’s Cash flow and the Change of equity for the year ended on that date.</t>
        </is>
      </c>
    </row>
    <row r="19">
      <c r="A19" s="35" t="n">
        <v>18</v>
      </c>
      <c r="B19" s="36" t="inlineStr">
        <is>
          <t>Other matters</t>
        </is>
      </c>
      <c r="C19" s="35" t="inlineStr"/>
      <c r="D19" s="37" t="inlineStr"/>
      <c r="E19" s="37" t="inlineStr"/>
      <c r="F19" s="35" t="n">
        <v>0</v>
      </c>
      <c r="G19" s="35" t="inlineStr"/>
      <c r="H19" s="35" t="inlineStr"/>
      <c r="I19" s="38" t="inlineStr">
        <is>
          <t>Other matters</t>
        </is>
      </c>
    </row>
    <row r="20">
      <c r="A20" s="35" t="n">
        <v>19</v>
      </c>
      <c r="B20" s="36" t="inlineStr">
        <is>
          <t>9. The Ind AS financial statements of the Company for the year ended March 31, 2017, were audited by the previous statements.</t>
        </is>
      </c>
      <c r="C20" s="35" t="inlineStr"/>
      <c r="D20" s="37" t="inlineStr"/>
      <c r="E20" s="37" t="inlineStr"/>
      <c r="F20" s="35" t="n">
        <v>0</v>
      </c>
      <c r="G20" s="35" t="inlineStr"/>
      <c r="H20" s="35" t="inlineStr"/>
      <c r="I20" s="38" t="inlineStr">
        <is>
          <t>9. The Ind AS financial statements of the Company for the year ended March 31, 2017, were audited by the previous | statements.</t>
        </is>
      </c>
    </row>
    <row r="21">
      <c r="A21" s="35" t="n">
        <v>20</v>
      </c>
      <c r="B21" s="36" t="inlineStr">
        <is>
          <t>Reporting on other legal and regulatory requirement</t>
        </is>
      </c>
      <c r="C21" s="35" t="inlineStr"/>
      <c r="D21" s="37" t="inlineStr"/>
      <c r="E21" s="37" t="inlineStr"/>
      <c r="F21" s="35" t="n">
        <v>0</v>
      </c>
      <c r="G21" s="35" t="inlineStr"/>
      <c r="H21" s="35" t="inlineStr"/>
      <c r="I21" s="38" t="inlineStr">
        <is>
          <t>Reporting on other legal and regulatory requirement</t>
        </is>
      </c>
    </row>
    <row r="22">
      <c r="A22" s="35" t="n">
        <v>21</v>
      </c>
      <c r="B22" s="36" t="inlineStr">
        <is>
          <t>10. As required by the Companies (Auditor’s Report) Order, 2016, issued by the Central Government of India in terms of sub-section (11) of section 143 of the Act (“the Order”), and on the basis of such checks of the books and records of the Company as we considered appropriate and according to the information and explanations given to us, we give in the Annexure B a statement on the matters specified in paragraphs 3 and 4 of the Order.</t>
        </is>
      </c>
      <c r="C22" s="35" t="inlineStr"/>
      <c r="D22" s="37" t="inlineStr"/>
      <c r="E22" s="37" t="inlineStr"/>
      <c r="F22" s="35" t="n">
        <v>0</v>
      </c>
      <c r="G22" s="35" t="inlineStr"/>
      <c r="H22" s="35" t="inlineStr"/>
      <c r="I22" s="38" t="inlineStr">
        <is>
          <t>10. As required by the Companies (Auditor’s Report) Order, 2016, issued by the Central Government of India in terms | of sub-section (11) of section 143 of the Act (“the Order”), and on the basis of such checks of the books and records</t>
        </is>
      </c>
    </row>
    <row r="23">
      <c r="A23" s="39" t="n">
        <v>22</v>
      </c>
      <c r="B23" s="40" t="inlineStr">
        <is>
          <t>RRAAJJEESSHH EEXXPPOORRTTSS LLIIMMIITTEEDD</t>
        </is>
      </c>
      <c r="C23" s="39" t="inlineStr"/>
      <c r="D23" s="41" t="inlineStr"/>
      <c r="E23" s="41" t="inlineStr"/>
      <c r="F23" s="39" t="n">
        <v>0</v>
      </c>
      <c r="G23" s="39" t="inlineStr">
        <is>
          <t>Yes</t>
        </is>
      </c>
      <c r="H23" s="39" t="inlineStr"/>
      <c r="I23" s="42" t="inlineStr">
        <is>
          <t>RRAAJJEESSHH EEXXPPOORRTTSS LLIIMMIITTEEDD</t>
        </is>
      </c>
    </row>
    <row r="24">
      <c r="A24" s="39" t="n">
        <v>23</v>
      </c>
      <c r="B24" s="40" t="inlineStr">
        <is>
          <t>STANDALONE CASH FLOW STATEMENT (Rs. in lakhs)</t>
        </is>
      </c>
      <c r="C24" s="39" t="inlineStr"/>
      <c r="D24" s="41" t="inlineStr"/>
      <c r="E24" s="41" t="inlineStr"/>
      <c r="F24" s="39" t="n">
        <v>0</v>
      </c>
      <c r="G24" s="39" t="inlineStr">
        <is>
          <t>Yes</t>
        </is>
      </c>
      <c r="H24" s="39" t="inlineStr"/>
      <c r="I24" s="42" t="inlineStr">
        <is>
          <t>STANDALONE CASH FLOW STATEMENT | (Rs. in lakhs)</t>
        </is>
      </c>
    </row>
    <row r="25">
      <c r="A25" s="39" t="n">
        <v>24</v>
      </c>
      <c r="B25" s="40" t="inlineStr">
        <is>
          <t>A CASH FLOW FROM OPERATING ACTIVITIES:</t>
        </is>
      </c>
      <c r="C25" s="39" t="inlineStr"/>
      <c r="D25" s="41" t="inlineStr"/>
      <c r="E25" s="41" t="inlineStr"/>
      <c r="F25" s="39" t="n">
        <v>0</v>
      </c>
      <c r="G25" s="39" t="inlineStr">
        <is>
          <t>Yes</t>
        </is>
      </c>
      <c r="H25" s="39" t="inlineStr"/>
      <c r="I25" s="42" t="inlineStr">
        <is>
          <t>A CASH FLOW FROM OPERATING ACTIVITIES:</t>
        </is>
      </c>
    </row>
    <row r="26">
      <c r="A26" s="35" t="n">
        <v>25</v>
      </c>
      <c r="B26" s="36" t="inlineStr">
        <is>
          <t>Profit before tax</t>
        </is>
      </c>
      <c r="C26" s="35" t="inlineStr"/>
      <c r="D26" s="37" t="inlineStr">
        <is>
          <t>48,840.11</t>
        </is>
      </c>
      <c r="E26" s="37" t="inlineStr">
        <is>
          <t>48,605.63</t>
        </is>
      </c>
      <c r="F26" s="35" t="n">
        <v>0</v>
      </c>
      <c r="G26" s="35" t="inlineStr"/>
      <c r="H26" s="35" t="inlineStr"/>
      <c r="I26" s="38" t="inlineStr">
        <is>
          <t>Profit before tax 48,840.11 48,605.63</t>
        </is>
      </c>
    </row>
    <row r="27">
      <c r="A27" s="35" t="n">
        <v>26</v>
      </c>
      <c r="B27" s="36" t="inlineStr">
        <is>
          <t>Adjustments for:</t>
        </is>
      </c>
      <c r="C27" s="35" t="inlineStr"/>
      <c r="D27" s="37" t="inlineStr"/>
      <c r="E27" s="37" t="inlineStr"/>
      <c r="F27" s="35" t="n">
        <v>0</v>
      </c>
      <c r="G27" s="35" t="inlineStr"/>
      <c r="H27" s="35" t="inlineStr"/>
      <c r="I27" s="38" t="inlineStr">
        <is>
          <t>Adjustments for:</t>
        </is>
      </c>
    </row>
    <row r="28">
      <c r="A28" s="35" t="n">
        <v>27</v>
      </c>
      <c r="B28" s="36" t="inlineStr">
        <is>
          <t>Depreciation and amortisation expenses</t>
        </is>
      </c>
      <c r="C28" s="35" t="inlineStr"/>
      <c r="D28" s="37" t="inlineStr">
        <is>
          <t>149.19</t>
        </is>
      </c>
      <c r="E28" s="37" t="inlineStr">
        <is>
          <t>184.85</t>
        </is>
      </c>
      <c r="F28" s="35" t="n">
        <v>0</v>
      </c>
      <c r="G28" s="35" t="inlineStr"/>
      <c r="H28" s="35" t="inlineStr"/>
      <c r="I28" s="38" t="inlineStr">
        <is>
          <t>Depreciation and amortisation expenses 149.19 184.85</t>
        </is>
      </c>
    </row>
    <row r="29">
      <c r="A29" s="35" t="n">
        <v>28</v>
      </c>
      <c r="B29" s="36" t="inlineStr">
        <is>
          <t>Net (gain) / loss on sale of investments</t>
        </is>
      </c>
      <c r="C29" s="35" t="inlineStr"/>
      <c r="D29" s="37" t="inlineStr">
        <is>
          <t>-</t>
        </is>
      </c>
      <c r="E29" s="37" t="inlineStr">
        <is>
          <t>-</t>
        </is>
      </c>
      <c r="F29" s="35" t="n">
        <v>0</v>
      </c>
      <c r="G29" s="35" t="inlineStr"/>
      <c r="H29" s="35" t="inlineStr"/>
      <c r="I29" s="38" t="inlineStr">
        <is>
          <t>Net (gain) / loss on sale of investments - -</t>
        </is>
      </c>
    </row>
    <row r="30">
      <c r="A30" s="35" t="n">
        <v>29</v>
      </c>
      <c r="B30" s="36" t="inlineStr">
        <is>
          <t>(Profit)/Loss on fixed assets sold, scrapped, etc. (net)</t>
        </is>
      </c>
      <c r="C30" s="35" t="inlineStr"/>
      <c r="D30" s="37" t="inlineStr">
        <is>
          <t>-</t>
        </is>
      </c>
      <c r="E30" s="37" t="inlineStr">
        <is>
          <t>-</t>
        </is>
      </c>
      <c r="F30" s="35" t="n">
        <v>0</v>
      </c>
      <c r="G30" s="35" t="inlineStr"/>
      <c r="H30" s="35" t="inlineStr"/>
      <c r="I30" s="38" t="inlineStr">
        <is>
          <t>(Profit)/Loss on fixed assets sold, scrapped, etc. (net) - -</t>
        </is>
      </c>
    </row>
    <row r="31">
      <c r="A31" s="35" t="n">
        <v>30</v>
      </c>
      <c r="B31" s="36" t="inlineStr">
        <is>
          <t>Interest income</t>
        </is>
      </c>
      <c r="C31" s="35" t="inlineStr"/>
      <c r="D31" s="37" t="inlineStr">
        <is>
          <t>-</t>
        </is>
      </c>
      <c r="E31" s="37" t="inlineStr">
        <is>
          <t>-</t>
        </is>
      </c>
      <c r="F31" s="35" t="n">
        <v>0</v>
      </c>
      <c r="G31" s="35" t="inlineStr"/>
      <c r="H31" s="35" t="inlineStr"/>
      <c r="I31" s="38" t="inlineStr">
        <is>
          <t>Interest income - -</t>
        </is>
      </c>
    </row>
    <row r="32">
      <c r="A32" s="35" t="n">
        <v>31</v>
      </c>
      <c r="B32" s="36" t="inlineStr">
        <is>
          <t>Dividend income</t>
        </is>
      </c>
      <c r="C32" s="35" t="inlineStr"/>
      <c r="D32" s="37" t="inlineStr">
        <is>
          <t>-</t>
        </is>
      </c>
      <c r="E32" s="37" t="inlineStr">
        <is>
          <t>-</t>
        </is>
      </c>
      <c r="F32" s="35" t="n">
        <v>0</v>
      </c>
      <c r="G32" s="35" t="inlineStr"/>
      <c r="H32" s="35" t="inlineStr"/>
      <c r="I32" s="38" t="inlineStr">
        <is>
          <t>Dividend income - -</t>
        </is>
      </c>
    </row>
    <row r="33">
      <c r="A33" s="35" t="n">
        <v>32</v>
      </c>
      <c r="B33" s="36" t="inlineStr">
        <is>
          <t>Bad debts/advances written off &amp; provision made</t>
        </is>
      </c>
      <c r="C33" s="35" t="inlineStr"/>
      <c r="D33" s="37" t="inlineStr">
        <is>
          <t>-</t>
        </is>
      </c>
      <c r="E33" s="37" t="inlineStr">
        <is>
          <t>-</t>
        </is>
      </c>
      <c r="F33" s="35" t="n">
        <v>0</v>
      </c>
      <c r="G33" s="35" t="inlineStr"/>
      <c r="H33" s="35" t="inlineStr"/>
      <c r="I33" s="38" t="inlineStr">
        <is>
          <t>Bad debts/advances written off &amp; provision made - -</t>
        </is>
      </c>
    </row>
    <row r="34">
      <c r="A34" s="35" t="n">
        <v>33</v>
      </c>
      <c r="B34" s="36" t="inlineStr">
        <is>
          <t>Interest expense</t>
        </is>
      </c>
      <c r="C34" s="35" t="inlineStr"/>
      <c r="D34" s="37" t="inlineStr">
        <is>
          <t>-</t>
        </is>
      </c>
      <c r="E34" s="37" t="inlineStr">
        <is>
          <t>-</t>
        </is>
      </c>
      <c r="F34" s="35" t="n">
        <v>0</v>
      </c>
      <c r="G34" s="35" t="inlineStr"/>
      <c r="H34" s="35" t="inlineStr"/>
      <c r="I34" s="38" t="inlineStr">
        <is>
          <t>Interest expense - -</t>
        </is>
      </c>
    </row>
    <row r="35">
      <c r="A35" s="35" t="n">
        <v>34</v>
      </c>
      <c r="B35" s="36" t="inlineStr">
        <is>
          <t>Finance cost</t>
        </is>
      </c>
      <c r="C35" s="35" t="inlineStr"/>
      <c r="D35" s="37" t="inlineStr">
        <is>
          <t>43,083.39</t>
        </is>
      </c>
      <c r="E35" s="37" t="inlineStr">
        <is>
          <t>35,107.82</t>
        </is>
      </c>
      <c r="F35" s="35" t="n">
        <v>0</v>
      </c>
      <c r="G35" s="35" t="inlineStr"/>
      <c r="H35" s="35" t="inlineStr"/>
      <c r="I35" s="38" t="inlineStr">
        <is>
          <t>Finance cost 43,083.39 35,107.82</t>
        </is>
      </c>
    </row>
    <row r="36">
      <c r="A36" s="35" t="n">
        <v>35</v>
      </c>
      <c r="B36" s="36" t="inlineStr">
        <is>
          <t>Rent received</t>
        </is>
      </c>
      <c r="C36" s="35" t="inlineStr"/>
      <c r="D36" s="37" t="inlineStr">
        <is>
          <t>(9.23)</t>
        </is>
      </c>
      <c r="E36" s="37" t="inlineStr">
        <is>
          <t>(8.17)</t>
        </is>
      </c>
      <c r="F36" s="35" t="n">
        <v>0</v>
      </c>
      <c r="G36" s="35" t="inlineStr"/>
      <c r="H36" s="35" t="inlineStr"/>
      <c r="I36" s="38" t="inlineStr">
        <is>
          <t>Rent received (9.23) (8.17)</t>
        </is>
      </c>
    </row>
    <row r="37">
      <c r="A37" s="35" t="n">
        <v>36</v>
      </c>
      <c r="B37" s="36" t="inlineStr">
        <is>
          <t>Profit on sale of Fixed assets</t>
        </is>
      </c>
      <c r="C37" s="35" t="inlineStr"/>
      <c r="D37" s="37" t="inlineStr">
        <is>
          <t>-</t>
        </is>
      </c>
      <c r="E37" s="37" t="inlineStr"/>
      <c r="F37" s="35" t="n">
        <v>0</v>
      </c>
      <c r="G37" s="35" t="inlineStr"/>
      <c r="H37" s="35" t="inlineStr"/>
      <c r="I37" s="38" t="inlineStr">
        <is>
          <t>Profit on sale of Fixed assets -</t>
        </is>
      </c>
    </row>
    <row r="38">
      <c r="A38" s="35" t="n">
        <v>37</v>
      </c>
      <c r="B38" s="36" t="inlineStr">
        <is>
          <t>Cash Generated from operations before</t>
        </is>
      </c>
      <c r="C38" s="35" t="inlineStr"/>
      <c r="D38" s="37" t="inlineStr">
        <is>
          <t>43,223.35</t>
        </is>
      </c>
      <c r="E38" s="37" t="inlineStr">
        <is>
          <t>35,284.50</t>
        </is>
      </c>
      <c r="F38" s="35" t="n">
        <v>0</v>
      </c>
      <c r="G38" s="35" t="inlineStr"/>
      <c r="H38" s="35" t="inlineStr"/>
      <c r="I38" s="38" t="inlineStr">
        <is>
          <t>43,223.35 35,284.50 | Cash Generated from operations before</t>
        </is>
      </c>
    </row>
    <row r="39">
      <c r="A39" s="35" t="n">
        <v>38</v>
      </c>
      <c r="B39" s="36" t="inlineStr">
        <is>
          <t>working capital changes</t>
        </is>
      </c>
      <c r="C39" s="35" t="inlineStr"/>
      <c r="D39" s="37" t="inlineStr">
        <is>
          <t>92,063.46</t>
        </is>
      </c>
      <c r="E39" s="37" t="inlineStr">
        <is>
          <t>83,890.13</t>
        </is>
      </c>
      <c r="F39" s="35" t="n">
        <v>0</v>
      </c>
      <c r="G39" s="35" t="inlineStr"/>
      <c r="H39" s="35" t="inlineStr"/>
      <c r="I39" s="38" t="inlineStr">
        <is>
          <t>working capital changes 92,063.46 83,890.13</t>
        </is>
      </c>
    </row>
    <row r="40">
      <c r="A40" s="35" t="n">
        <v>39</v>
      </c>
      <c r="B40" s="36" t="inlineStr">
        <is>
          <t>Adjustments for:</t>
        </is>
      </c>
      <c r="C40" s="35" t="inlineStr"/>
      <c r="D40" s="37" t="inlineStr"/>
      <c r="E40" s="37" t="inlineStr"/>
      <c r="F40" s="35" t="n">
        <v>0</v>
      </c>
      <c r="G40" s="35" t="inlineStr"/>
      <c r="H40" s="35" t="inlineStr"/>
      <c r="I40" s="38" t="inlineStr">
        <is>
          <t>Adjustments for:</t>
        </is>
      </c>
    </row>
    <row r="41">
      <c r="A41" s="35" t="n">
        <v>40</v>
      </c>
      <c r="B41" s="36" t="inlineStr">
        <is>
          <t>(Increase)/Decrease in Inventories</t>
        </is>
      </c>
      <c r="C41" s="35" t="inlineStr"/>
      <c r="D41" s="37" t="inlineStr">
        <is>
          <t>(51,911.70)</t>
        </is>
      </c>
      <c r="E41" s="37" t="inlineStr">
        <is>
          <t>(13,266.54)</t>
        </is>
      </c>
      <c r="F41" s="35" t="n">
        <v>0</v>
      </c>
      <c r="G41" s="35" t="inlineStr"/>
      <c r="H41" s="35" t="inlineStr"/>
      <c r="I41" s="38" t="inlineStr">
        <is>
          <t>(Increase)/Decrease in Inventories (51,911.70) (13,266.54)</t>
        </is>
      </c>
    </row>
    <row r="42">
      <c r="A42" s="35" t="n">
        <v>41</v>
      </c>
      <c r="B42" s="36" t="inlineStr">
        <is>
          <t>Adjustments for Decrease/(increase) in Trade and</t>
        </is>
      </c>
      <c r="C42" s="35" t="inlineStr"/>
      <c r="D42" s="37" t="inlineStr">
        <is>
          <t>-</t>
        </is>
      </c>
      <c r="E42" s="37" t="inlineStr"/>
      <c r="F42" s="35" t="n">
        <v>0</v>
      </c>
      <c r="G42" s="35" t="inlineStr"/>
      <c r="H42" s="35" t="inlineStr"/>
      <c r="I42" s="38" t="inlineStr">
        <is>
          <t>Adjustments for Decrease/(increase) in Trade and -</t>
        </is>
      </c>
    </row>
    <row r="43">
      <c r="A43" s="35" t="n">
        <v>42</v>
      </c>
      <c r="B43" s="36" t="inlineStr">
        <is>
          <t>- other receivables including Loans &amp; Advances</t>
        </is>
      </c>
      <c r="C43" s="35" t="inlineStr"/>
      <c r="D43" s="37" t="inlineStr">
        <is>
          <t>170,562.08</t>
        </is>
      </c>
      <c r="E43" s="37" t="inlineStr">
        <is>
          <t>31,965.46</t>
        </is>
      </c>
      <c r="F43" s="35" t="n">
        <v>0</v>
      </c>
      <c r="G43" s="35" t="inlineStr"/>
      <c r="H43" s="35" t="inlineStr"/>
      <c r="I43" s="38" t="inlineStr">
        <is>
          <t>- other receivables including Loans &amp; Advances 170,562.08 31,965.46</t>
        </is>
      </c>
    </row>
    <row r="44">
      <c r="A44" s="35" t="n">
        <v>43</v>
      </c>
      <c r="B44" s="36" t="inlineStr">
        <is>
          <t>Increase/(Decrease) in Current</t>
        </is>
      </c>
      <c r="C44" s="35" t="inlineStr"/>
      <c r="D44" s="37" t="inlineStr">
        <is>
          <t>-</t>
        </is>
      </c>
      <c r="E44" s="37" t="inlineStr"/>
      <c r="F44" s="35" t="n">
        <v>0</v>
      </c>
      <c r="G44" s="35" t="inlineStr"/>
      <c r="H44" s="35" t="inlineStr"/>
      <c r="I44" s="38" t="inlineStr">
        <is>
          <t>Increase/(Decrease) in Current -</t>
        </is>
      </c>
    </row>
    <row r="45">
      <c r="A45" s="35" t="n">
        <v>44</v>
      </c>
      <c r="B45" s="36" t="inlineStr">
        <is>
          <t>- Non Current Liabilities &amp; Provisions</t>
        </is>
      </c>
      <c r="C45" s="35" t="inlineStr"/>
      <c r="D45" s="37" t="inlineStr">
        <is>
          <t>(488,516.53)</t>
        </is>
      </c>
      <c r="E45" s="37" t="inlineStr">
        <is>
          <t>65,930.41</t>
        </is>
      </c>
      <c r="F45" s="35" t="n">
        <v>0</v>
      </c>
      <c r="G45" s="35" t="inlineStr"/>
      <c r="H45" s="35" t="inlineStr"/>
      <c r="I45" s="38" t="inlineStr">
        <is>
          <t>- Non Current Liabilities &amp; Provisions (488,516.53) 65,930.41</t>
        </is>
      </c>
    </row>
    <row r="46">
      <c r="A46" s="35" t="n">
        <v>45</v>
      </c>
      <c r="B46" s="36" t="inlineStr">
        <is>
          <t>Cash generated from operations</t>
        </is>
      </c>
      <c r="C46" s="35" t="inlineStr"/>
      <c r="D46" s="37" t="inlineStr">
        <is>
          <t>(277,802.70)</t>
        </is>
      </c>
      <c r="E46" s="37" t="inlineStr">
        <is>
          <t>168,519.46</t>
        </is>
      </c>
      <c r="F46" s="35" t="n">
        <v>0</v>
      </c>
      <c r="G46" s="35" t="inlineStr"/>
      <c r="H46" s="35" t="inlineStr"/>
      <c r="I46" s="38" t="inlineStr">
        <is>
          <t>Cash generated from operations (277,802.70) 168,519.46</t>
        </is>
      </c>
    </row>
    <row r="47">
      <c r="A47" s="35" t="n">
        <v>46</v>
      </c>
      <c r="B47" s="36" t="inlineStr">
        <is>
          <t>Taxes paid (net of refunds)</t>
        </is>
      </c>
      <c r="C47" s="35" t="inlineStr"/>
      <c r="D47" s="37" t="inlineStr">
        <is>
          <t>(7,746.66)</t>
        </is>
      </c>
      <c r="E47" s="37" t="inlineStr">
        <is>
          <t>(8,900.19)</t>
        </is>
      </c>
      <c r="F47" s="35" t="n">
        <v>0</v>
      </c>
      <c r="G47" s="35" t="inlineStr"/>
      <c r="H47" s="35" t="inlineStr"/>
      <c r="I47" s="38" t="inlineStr">
        <is>
          <t>Taxes paid (net of refunds) (7,746.66) (8,900.19)</t>
        </is>
      </c>
    </row>
    <row r="48">
      <c r="A48" s="35" t="n">
        <v>47</v>
      </c>
      <c r="B48" s="36" t="inlineStr">
        <is>
          <t>Net cash generated from operating activities - [A]</t>
        </is>
      </c>
      <c r="C48" s="35" t="inlineStr"/>
      <c r="D48" s="37" t="inlineStr">
        <is>
          <t>(285,549.36)</t>
        </is>
      </c>
      <c r="E48" s="37" t="inlineStr">
        <is>
          <t>159,619.27</t>
        </is>
      </c>
      <c r="F48" s="35" t="n">
        <v>0</v>
      </c>
      <c r="G48" s="35" t="inlineStr"/>
      <c r="H48" s="35" t="inlineStr"/>
      <c r="I48" s="38" t="inlineStr">
        <is>
          <t>Net cash generated from operating activities - [A] (285,549.36) 159,619.27</t>
        </is>
      </c>
    </row>
    <row r="49">
      <c r="A49" s="39" t="n">
        <v>48</v>
      </c>
      <c r="B49" s="40" t="inlineStr">
        <is>
          <t>B CASH FLOW FROM INVESTING ACTIVITIES:</t>
        </is>
      </c>
      <c r="C49" s="39" t="inlineStr"/>
      <c r="D49" s="41" t="inlineStr"/>
      <c r="E49" s="41" t="inlineStr"/>
      <c r="F49" s="39" t="n">
        <v>0</v>
      </c>
      <c r="G49" s="39" t="inlineStr">
        <is>
          <t>Yes</t>
        </is>
      </c>
      <c r="H49" s="39" t="inlineStr"/>
      <c r="I49" s="42" t="inlineStr">
        <is>
          <t>B CASH FLOW FROM INVESTING ACTIVITIES:</t>
        </is>
      </c>
    </row>
    <row r="50">
      <c r="A50" s="35" t="n">
        <v>49</v>
      </c>
      <c r="B50" s="36" t="inlineStr">
        <is>
          <t>Purchase of Fixed Assets</t>
        </is>
      </c>
      <c r="C50" s="35" t="inlineStr"/>
      <c r="D50" s="37" t="inlineStr">
        <is>
          <t>(98.02)</t>
        </is>
      </c>
      <c r="E50" s="37" t="inlineStr">
        <is>
          <t>(126.22)</t>
        </is>
      </c>
      <c r="F50" s="35" t="n">
        <v>0</v>
      </c>
      <c r="G50" s="35" t="inlineStr"/>
      <c r="H50" s="35" t="inlineStr"/>
      <c r="I50" s="38" t="inlineStr">
        <is>
          <t>Purchase of Fixed Assets (98.02) (126.22)</t>
        </is>
      </c>
    </row>
    <row r="51">
      <c r="A51" s="35" t="n">
        <v>50</v>
      </c>
      <c r="B51" s="36" t="inlineStr">
        <is>
          <t>Sale proceeds of Fixed Assets</t>
        </is>
      </c>
      <c r="C51" s="35" t="inlineStr"/>
      <c r="D51" s="37" t="inlineStr"/>
      <c r="E51" s="37" t="inlineStr"/>
      <c r="F51" s="35" t="n">
        <v>0</v>
      </c>
      <c r="G51" s="35" t="inlineStr"/>
      <c r="H51" s="35" t="inlineStr"/>
      <c r="I51" s="38" t="inlineStr">
        <is>
          <t>Sale proceeds of Fixed Assets</t>
        </is>
      </c>
    </row>
    <row r="52">
      <c r="A52" s="35" t="n">
        <v>51</v>
      </c>
      <c r="B52" s="36" t="inlineStr">
        <is>
          <t>(DECREASE IN FIXED ASSETS}</t>
        </is>
      </c>
      <c r="C52" s="35" t="inlineStr"/>
      <c r="D52" s="37" t="inlineStr">
        <is>
          <t>-</t>
        </is>
      </c>
      <c r="E52" s="37" t="inlineStr">
        <is>
          <t>0.65</t>
        </is>
      </c>
      <c r="F52" s="35" t="n">
        <v>0</v>
      </c>
      <c r="G52" s="35" t="inlineStr"/>
      <c r="H52" s="35" t="inlineStr"/>
      <c r="I52" s="38" t="inlineStr">
        <is>
          <t>(DECREASE IN FIXED ASSETS} - 0.65</t>
        </is>
      </c>
    </row>
    <row r="53">
      <c r="A53" s="35" t="n">
        <v>52</v>
      </c>
      <c r="B53" s="36" t="inlineStr">
        <is>
          <t>(Purchase)/ Sale proceeds of Investments</t>
        </is>
      </c>
      <c r="C53" s="35" t="inlineStr"/>
      <c r="D53" s="37" t="inlineStr">
        <is>
          <t>1,198.13</t>
        </is>
      </c>
      <c r="E53" s="37" t="inlineStr">
        <is>
          <t>(9,543.16)</t>
        </is>
      </c>
      <c r="F53" s="35" t="n">
        <v>0</v>
      </c>
      <c r="G53" s="35" t="inlineStr"/>
      <c r="H53" s="35" t="inlineStr"/>
      <c r="I53" s="38" t="inlineStr">
        <is>
          <t>(Purchase)/ Sale proceeds of Investments 1,198.13 (9,543.16)</t>
        </is>
      </c>
    </row>
    <row r="54">
      <c r="A54" s="35" t="n">
        <v>53</v>
      </c>
      <c r="B54" s="36" t="inlineStr">
        <is>
          <t>Rent received</t>
        </is>
      </c>
      <c r="C54" s="35" t="inlineStr"/>
      <c r="D54" s="37" t="inlineStr">
        <is>
          <t>9.23</t>
        </is>
      </c>
      <c r="E54" s="37" t="inlineStr">
        <is>
          <t>8.17</t>
        </is>
      </c>
      <c r="F54" s="35" t="n">
        <v>0</v>
      </c>
      <c r="G54" s="35" t="inlineStr"/>
      <c r="H54" s="35" t="inlineStr"/>
      <c r="I54" s="38" t="inlineStr">
        <is>
          <t>Rent received 9.23 8.17</t>
        </is>
      </c>
    </row>
    <row r="55">
      <c r="A55" s="35" t="n">
        <v>54</v>
      </c>
      <c r="B55" s="36" t="inlineStr">
        <is>
          <t>Net cash generated/(used in) from investing activities-[B]</t>
        </is>
      </c>
      <c r="C55" s="35" t="inlineStr"/>
      <c r="D55" s="37" t="inlineStr">
        <is>
          <t>1,109.34</t>
        </is>
      </c>
      <c r="E55" s="37" t="inlineStr">
        <is>
          <t>(9,660.56)</t>
        </is>
      </c>
      <c r="F55" s="35" t="n">
        <v>0</v>
      </c>
      <c r="G55" s="35" t="inlineStr"/>
      <c r="H55" s="35" t="inlineStr"/>
      <c r="I55" s="38" t="inlineStr">
        <is>
          <t>Net cash generated/(used in) from investing activities-[B] 1,109.34 (9,660.56)</t>
        </is>
      </c>
    </row>
    <row r="56">
      <c r="A56" s="39" t="n">
        <v>55</v>
      </c>
      <c r="B56" s="40" t="inlineStr">
        <is>
          <t>C CASH FLOW FROM FINANCING ACTIVITIES:</t>
        </is>
      </c>
      <c r="C56" s="39" t="inlineStr"/>
      <c r="D56" s="41" t="inlineStr"/>
      <c r="E56" s="41" t="inlineStr"/>
      <c r="F56" s="39" t="n">
        <v>0</v>
      </c>
      <c r="G56" s="39" t="inlineStr">
        <is>
          <t>Yes</t>
        </is>
      </c>
      <c r="H56" s="39" t="inlineStr"/>
      <c r="I56" s="42" t="inlineStr">
        <is>
          <t>C CASH FLOW FROM FINANCING ACTIVITIES:</t>
        </is>
      </c>
    </row>
    <row r="57">
      <c r="A57" s="35" t="n">
        <v>56</v>
      </c>
      <c r="B57" s="36" t="inlineStr">
        <is>
          <t>Increase/(Decrease) in Secured Loan</t>
        </is>
      </c>
      <c r="C57" s="35" t="inlineStr"/>
      <c r="D57" s="37" t="inlineStr">
        <is>
          <t>316,278.61</t>
        </is>
      </c>
      <c r="E57" s="37" t="inlineStr">
        <is>
          <t>97,636.02</t>
        </is>
      </c>
      <c r="F57" s="35" t="n">
        <v>0</v>
      </c>
      <c r="G57" s="35" t="inlineStr"/>
      <c r="H57" s="35" t="inlineStr"/>
      <c r="I57" s="38" t="inlineStr">
        <is>
          <t>Increase/(Decrease) in Secured Loan 316,278.61 97,636.02</t>
        </is>
      </c>
    </row>
    <row r="58">
      <c r="A58" s="35" t="n">
        <v>57</v>
      </c>
      <c r="B58" s="36" t="inlineStr">
        <is>
          <t>Increase/(Decrease) in Unsecured Loan</t>
        </is>
      </c>
      <c r="C58" s="35" t="inlineStr"/>
      <c r="D58" s="37" t="inlineStr">
        <is>
          <t>(317.03)</t>
        </is>
      </c>
      <c r="E58" s="37" t="inlineStr">
        <is>
          <t>(316.93)</t>
        </is>
      </c>
      <c r="F58" s="35" t="n">
        <v>0</v>
      </c>
      <c r="G58" s="35" t="inlineStr"/>
      <c r="H58" s="35" t="inlineStr"/>
      <c r="I58" s="38" t="inlineStr">
        <is>
          <t>Increase/(Decrease) in Unsecured Loan (317.03) (316.93)</t>
        </is>
      </c>
    </row>
    <row r="59">
      <c r="A59" s="35" t="n">
        <v>58</v>
      </c>
      <c r="B59" s="36" t="inlineStr">
        <is>
          <t>Interest paid</t>
        </is>
      </c>
      <c r="C59" s="35" t="inlineStr"/>
      <c r="D59" s="37" t="inlineStr">
        <is>
          <t>(43,083.39)</t>
        </is>
      </c>
      <c r="E59" s="37" t="inlineStr">
        <is>
          <t>(35,107.82)</t>
        </is>
      </c>
      <c r="F59" s="35" t="n">
        <v>0</v>
      </c>
      <c r="G59" s="35" t="inlineStr"/>
      <c r="H59" s="35" t="inlineStr"/>
      <c r="I59" s="38" t="inlineStr">
        <is>
          <t>Interest paid (43,083.39) (35,107.82)</t>
        </is>
      </c>
    </row>
    <row r="60">
      <c r="A60" s="35" t="n">
        <v>59</v>
      </c>
      <c r="B60" s="36" t="inlineStr">
        <is>
          <t>Dividends paid</t>
        </is>
      </c>
      <c r="C60" s="35" t="inlineStr"/>
      <c r="D60" s="37" t="inlineStr">
        <is>
          <t>(3,247.87)</t>
        </is>
      </c>
      <c r="E60" s="37" t="inlineStr">
        <is>
          <t>-</t>
        </is>
      </c>
      <c r="F60" s="35" t="n">
        <v>0</v>
      </c>
      <c r="G60" s="35" t="inlineStr"/>
      <c r="H60" s="35" t="inlineStr"/>
      <c r="I60" s="38" t="inlineStr">
        <is>
          <t>Dividends paid (3,247.87) -</t>
        </is>
      </c>
    </row>
    <row r="61">
      <c r="A61" s="35" t="n">
        <v>60</v>
      </c>
      <c r="B61" s="36" t="inlineStr">
        <is>
          <t>Net cash used in financing activities - [C]</t>
        </is>
      </c>
      <c r="C61" s="35" t="inlineStr"/>
      <c r="D61" s="37" t="inlineStr">
        <is>
          <t>269,630.32</t>
        </is>
      </c>
      <c r="E61" s="37" t="inlineStr">
        <is>
          <t>62,211.27</t>
        </is>
      </c>
      <c r="F61" s="35" t="n">
        <v>0</v>
      </c>
      <c r="G61" s="35" t="inlineStr"/>
      <c r="H61" s="35" t="inlineStr"/>
      <c r="I61" s="38" t="inlineStr">
        <is>
          <t>Net cash used in financing activities - [C] 269,630.32 62,211.27</t>
        </is>
      </c>
    </row>
    <row r="62">
      <c r="A62" s="35" t="n">
        <v>61</v>
      </c>
      <c r="B62" s="36" t="inlineStr">
        <is>
          <t>Net increase/(decrease) in cash and</t>
        </is>
      </c>
      <c r="C62" s="35" t="inlineStr"/>
      <c r="D62" s="37" t="inlineStr"/>
      <c r="E62" s="37" t="inlineStr"/>
      <c r="F62" s="35" t="n">
        <v>0</v>
      </c>
      <c r="G62" s="35" t="inlineStr"/>
      <c r="H62" s="35" t="inlineStr"/>
      <c r="I62" s="38" t="inlineStr">
        <is>
          <t>Net increase/(decrease) in cash and</t>
        </is>
      </c>
    </row>
    <row r="63">
      <c r="A63" s="35" t="n">
        <v>62</v>
      </c>
      <c r="B63" s="36" t="inlineStr">
        <is>
          <t>cash equivalents - [A+B+C]</t>
        </is>
      </c>
      <c r="C63" s="35" t="inlineStr"/>
      <c r="D63" s="37" t="inlineStr">
        <is>
          <t>(14,809.70)</t>
        </is>
      </c>
      <c r="E63" s="37" t="inlineStr">
        <is>
          <t>212,169.98</t>
        </is>
      </c>
      <c r="F63" s="35" t="n">
        <v>0</v>
      </c>
      <c r="G63" s="35" t="inlineStr"/>
      <c r="H63" s="35" t="inlineStr"/>
      <c r="I63" s="38" t="inlineStr">
        <is>
          <t>cash equivalents - [A+B+C] (14,809.70) 212,169.98</t>
        </is>
      </c>
    </row>
    <row r="64">
      <c r="A64" s="35" t="n">
        <v>63</v>
      </c>
      <c r="B64" s="36" t="inlineStr">
        <is>
          <t>Cash and cash equivalents at the beginning of the year</t>
        </is>
      </c>
      <c r="C64" s="35" t="inlineStr"/>
      <c r="D64" s="37" t="inlineStr">
        <is>
          <t>1,377,408.96</t>
        </is>
      </c>
      <c r="E64" s="37" t="inlineStr">
        <is>
          <t>1,165,238.98</t>
        </is>
      </c>
      <c r="F64" s="35" t="n">
        <v>0</v>
      </c>
      <c r="G64" s="35" t="inlineStr"/>
      <c r="H64" s="35" t="inlineStr"/>
      <c r="I64" s="38" t="inlineStr">
        <is>
          <t>Cash and cash equivalents at the beginning of the year 1,377,408.96 1,165,238.98</t>
        </is>
      </c>
    </row>
    <row r="65">
      <c r="A65" s="35" t="n">
        <v>64</v>
      </c>
      <c r="B65" s="36" t="inlineStr">
        <is>
          <t>Cash and cash equivalents at the end of the year</t>
        </is>
      </c>
      <c r="C65" s="35" t="inlineStr"/>
      <c r="D65" s="37" t="inlineStr">
        <is>
          <t>1,362,599.26</t>
        </is>
      </c>
      <c r="E65" s="37" t="inlineStr">
        <is>
          <t>1,377,408.96</t>
        </is>
      </c>
      <c r="F65" s="35" t="n">
        <v>0</v>
      </c>
      <c r="G65" s="35" t="inlineStr"/>
      <c r="H65" s="35" t="inlineStr"/>
      <c r="I65" s="38" t="inlineStr">
        <is>
          <t>Cash and cash equivalents at the end of the year 1,362,599.26 1,377,408.96</t>
        </is>
      </c>
    </row>
    <row r="66">
      <c r="A66" s="35" t="n">
        <v>65</v>
      </c>
      <c r="B66" s="36" t="inlineStr">
        <is>
          <t>Cash and cash equivalents comprise of:</t>
        </is>
      </c>
      <c r="C66" s="35" t="inlineStr"/>
      <c r="D66" s="37" t="inlineStr"/>
      <c r="E66" s="37" t="inlineStr"/>
      <c r="F66" s="35" t="n">
        <v>0</v>
      </c>
      <c r="G66" s="35" t="inlineStr"/>
      <c r="H66" s="35" t="inlineStr"/>
      <c r="I66" s="38" t="inlineStr">
        <is>
          <t>Cash and cash equivalents comprise of:</t>
        </is>
      </c>
    </row>
    <row r="67">
      <c r="A67" s="35" t="n">
        <v>66</v>
      </c>
      <c r="B67" s="36" t="inlineStr">
        <is>
          <t>Cash on hand</t>
        </is>
      </c>
      <c r="C67" s="35" t="inlineStr"/>
      <c r="D67" s="37" t="inlineStr">
        <is>
          <t>57.60</t>
        </is>
      </c>
      <c r="E67" s="37" t="inlineStr">
        <is>
          <t>2.93</t>
        </is>
      </c>
      <c r="F67" s="35" t="n">
        <v>0</v>
      </c>
      <c r="G67" s="35" t="inlineStr"/>
      <c r="H67" s="35" t="inlineStr"/>
      <c r="I67" s="38" t="inlineStr">
        <is>
          <t>Cash on hand 57.60 2.93</t>
        </is>
      </c>
    </row>
    <row r="68">
      <c r="A68" s="35" t="n">
        <v>67</v>
      </c>
      <c r="B68" s="36" t="inlineStr">
        <is>
          <t>Balances with banks:</t>
        </is>
      </c>
      <c r="C68" s="35" t="inlineStr"/>
      <c r="D68" s="37" t="inlineStr"/>
      <c r="E68" s="37" t="inlineStr"/>
      <c r="F68" s="35" t="n">
        <v>0</v>
      </c>
      <c r="G68" s="35" t="inlineStr"/>
      <c r="H68" s="35" t="inlineStr"/>
      <c r="I68" s="38" t="inlineStr">
        <is>
          <t>Balances with banks:</t>
        </is>
      </c>
    </row>
    <row r="69">
      <c r="A69" s="35" t="n">
        <v>68</v>
      </c>
      <c r="B69" s="36" t="inlineStr">
        <is>
          <t>In current accounts</t>
        </is>
      </c>
      <c r="C69" s="35" t="inlineStr"/>
      <c r="D69" s="37" t="inlineStr">
        <is>
          <t>318.81</t>
        </is>
      </c>
      <c r="E69" s="37" t="inlineStr">
        <is>
          <t>5,669.86</t>
        </is>
      </c>
      <c r="F69" s="35" t="n">
        <v>0</v>
      </c>
      <c r="G69" s="35" t="inlineStr"/>
      <c r="H69" s="35" t="inlineStr"/>
      <c r="I69" s="38" t="inlineStr">
        <is>
          <t>In current accounts 318.81 5,669.86</t>
        </is>
      </c>
    </row>
    <row r="70">
      <c r="A70" s="35" t="n">
        <v>69</v>
      </c>
      <c r="B70" s="36" t="inlineStr">
        <is>
          <t>Earmarked Balances with banks</t>
        </is>
      </c>
      <c r="C70" s="35" t="inlineStr"/>
      <c r="D70" s="37" t="inlineStr">
        <is>
          <t>55.17</t>
        </is>
      </c>
      <c r="E70" s="37" t="inlineStr">
        <is>
          <t>44.44</t>
        </is>
      </c>
      <c r="F70" s="35" t="n">
        <v>0</v>
      </c>
      <c r="G70" s="35" t="inlineStr"/>
      <c r="H70" s="35" t="inlineStr"/>
      <c r="I70" s="38" t="inlineStr">
        <is>
          <t>Earmarked Balances with banks 55.17 44.44</t>
        </is>
      </c>
    </row>
    <row r="71">
      <c r="A71" s="35" t="n">
        <v>70</v>
      </c>
      <c r="B71" s="36" t="inlineStr">
        <is>
          <t>Term deposits with original maturity of</t>
        </is>
      </c>
      <c r="C71" s="35" t="inlineStr"/>
      <c r="D71" s="37" t="inlineStr"/>
      <c r="E71" s="37" t="inlineStr"/>
      <c r="F71" s="35" t="n">
        <v>0</v>
      </c>
      <c r="G71" s="35" t="inlineStr"/>
      <c r="H71" s="35" t="inlineStr"/>
      <c r="I71" s="38" t="inlineStr">
        <is>
          <t>Term deposits with original maturity of</t>
        </is>
      </c>
    </row>
    <row r="72">
      <c r="A72" s="35" t="n">
        <v>71</v>
      </c>
      <c r="B72" s="36" t="inlineStr">
        <is>
          <t>More than three months</t>
        </is>
      </c>
      <c r="C72" s="35" t="inlineStr"/>
      <c r="D72" s="37" t="inlineStr">
        <is>
          <t>1,362,167.68</t>
        </is>
      </c>
      <c r="E72" s="37" t="inlineStr">
        <is>
          <t>1,371,691.73</t>
        </is>
      </c>
      <c r="F72" s="35" t="n">
        <v>0</v>
      </c>
      <c r="G72" s="35" t="inlineStr"/>
      <c r="H72" s="35" t="inlineStr"/>
      <c r="I72" s="38" t="inlineStr">
        <is>
          <t>More than three months 1,362,167.68 1,371,691.73</t>
        </is>
      </c>
    </row>
    <row r="73">
      <c r="A73" s="35" t="n">
        <v>72</v>
      </c>
      <c r="B73" s="36" t="inlineStr">
        <is>
          <t>Notes: i) The above Cash Flow Statement has been prepared under the ‘Indirect Method’ as set out in the Ind AS 7 , “Cash Flow Statements” ii) Cash comprises cash on hand, Current Accounts and deposits with banks. Cash equivalents are short-term balances (with an original maturity of three months or less from the date of acquisition), highly liquid investments that are readily convertible into known amounts of cash and which are subject to insignificant risk of changes in value. For P V RAMANA REDDY &amp; CO</t>
        </is>
      </c>
      <c r="C73" s="35" t="inlineStr"/>
      <c r="D73" s="37" t="inlineStr"/>
      <c r="E73" s="37" t="inlineStr"/>
      <c r="F73" s="35" t="n">
        <v>0</v>
      </c>
      <c r="G73" s="35" t="inlineStr"/>
      <c r="H73" s="35" t="inlineStr"/>
      <c r="I73" s="38" t="inlineStr">
        <is>
          <t>Notes: | i) The above Cash Flow Statement has been prepared under the ‘Indirect Method’ as set out in the Ind AS 7 , “Cash Flow Statements”</t>
        </is>
      </c>
    </row>
    <row r="74">
      <c r="A74" s="35" t="n">
        <v>73</v>
      </c>
      <c r="B74" s="36" t="inlineStr">
        <is>
          <t>DIN : 00336457 DIN : 00336417 M.No. A35258</t>
        </is>
      </c>
      <c r="C74" s="35" t="inlineStr"/>
      <c r="D74" s="37" t="inlineStr"/>
      <c r="E74" s="37" t="inlineStr"/>
      <c r="F74" s="35" t="n">
        <v>0</v>
      </c>
      <c r="G74" s="35" t="inlineStr"/>
      <c r="H74" s="35" t="inlineStr"/>
      <c r="I74" s="38" t="inlineStr">
        <is>
          <t>DIN : 00336457 DIN : 00336417 M.No. A35258</t>
        </is>
      </c>
    </row>
    <row r="75">
      <c r="A75" s="35" t="n">
        <v>74</v>
      </c>
      <c r="B75" s="36" t="inlineStr">
        <is>
          <t>Sd/-</t>
        </is>
      </c>
      <c r="C75" s="35" t="inlineStr"/>
      <c r="D75" s="37" t="inlineStr"/>
      <c r="E75" s="37" t="inlineStr"/>
      <c r="F75" s="35" t="n">
        <v>0</v>
      </c>
      <c r="G75" s="35" t="inlineStr"/>
      <c r="H75" s="35" t="inlineStr"/>
      <c r="I75" s="38" t="inlineStr">
        <is>
          <t>Sd/-</t>
        </is>
      </c>
    </row>
    <row r="76">
      <c r="A76" s="39" t="n">
        <v>75</v>
      </c>
      <c r="B76" s="40" t="inlineStr">
        <is>
          <t>VIJAYA LAKSHMI (CA. P V RAMANA REDDY)</t>
        </is>
      </c>
      <c r="C76" s="39" t="inlineStr"/>
      <c r="D76" s="41" t="inlineStr"/>
      <c r="E76" s="41" t="inlineStr"/>
      <c r="F76" s="39" t="n">
        <v>0</v>
      </c>
      <c r="G76" s="39" t="inlineStr">
        <is>
          <t>Yes</t>
        </is>
      </c>
      <c r="H76" s="39" t="inlineStr"/>
      <c r="I76" s="42" t="inlineStr">
        <is>
          <t>VIJAYA LAKSHMI (CA. P V RAMANA REDDY)</t>
        </is>
      </c>
    </row>
    <row r="77">
      <c r="A77" s="35" t="n">
        <v>76</v>
      </c>
      <c r="B77" s="36" t="inlineStr">
        <is>
          <t>Date : May 30, 2018 DIN : 071460 CFO M.No.</t>
        </is>
      </c>
      <c r="C77" s="35" t="inlineStr"/>
      <c r="D77" s="37" t="inlineStr">
        <is>
          <t>204588</t>
        </is>
      </c>
      <c r="E77" s="37" t="inlineStr"/>
      <c r="F77" s="35" t="n">
        <v>0</v>
      </c>
      <c r="G77" s="35" t="inlineStr"/>
      <c r="H77" s="35" t="inlineStr"/>
      <c r="I77" s="38" t="inlineStr">
        <is>
          <t>Date : May 30, 2018 DIN : 071460 CFO M.No. 204588</t>
        </is>
      </c>
    </row>
    <row r="79">
      <c r="A79" s="48" t="inlineStr">
        <is>
          <t>Source Pages:</t>
        </is>
      </c>
      <c r="B79" s="49" t="inlineStr">
        <is>
          <t>47, 54</t>
        </is>
      </c>
    </row>
    <row r="80">
      <c r="A80" s="48" t="inlineStr">
        <is>
          <t>Unit:</t>
        </is>
      </c>
      <c r="B80" s="49" t="inlineStr">
        <is>
          <t>₹ in Lakhs</t>
        </is>
      </c>
    </row>
  </sheetData>
  <autoFilter ref="A1:I7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50" customWidth="1" min="1" max="1"/>
    <col width="25" customWidth="1" min="2" max="2"/>
    <col width="20" customWidth="1" min="3" max="3"/>
    <col width="20" customWidth="1" min="4" max="4"/>
    <col width="14" customWidth="1" min="5" max="5"/>
    <col width="12" customWidth="1" min="6" max="6"/>
    <col width="35" customWidth="1" min="7" max="7"/>
  </cols>
  <sheetData>
    <row r="1">
      <c r="A1" s="70" t="inlineStr">
        <is>
          <t>Item</t>
        </is>
      </c>
      <c r="B1" s="70" t="inlineStr">
        <is>
          <t>Section</t>
        </is>
      </c>
      <c r="C1" s="70" t="inlineStr">
        <is>
          <t>Original Value</t>
        </is>
      </c>
      <c r="D1" s="70" t="inlineStr">
        <is>
          <t>RAG Value</t>
        </is>
      </c>
      <c r="E1" s="70" t="inlineStr">
        <is>
          <t>Action</t>
        </is>
      </c>
      <c r="F1" s="70" t="inlineStr">
        <is>
          <t>Confidence</t>
        </is>
      </c>
      <c r="G1" s="70" t="inlineStr">
        <is>
          <t>Source Pages</t>
        </is>
      </c>
    </row>
    <row r="2">
      <c r="A2" t="inlineStr">
        <is>
          <t>(a) Property, Plant and Equipment</t>
        </is>
      </c>
      <c r="B2" t="inlineStr">
        <is>
          <t>Non-current assets</t>
        </is>
      </c>
      <c r="C2" t="inlineStr">
        <is>
          <t>6528.31</t>
        </is>
      </c>
      <c r="D2" t="inlineStr"/>
      <c r="E2" t="inlineStr">
        <is>
          <t>not_found</t>
        </is>
      </c>
      <c r="F2" t="inlineStr"/>
      <c r="G2" t="inlineStr">
        <is>
          <t>p63(REL_AnnualReport2017-18.pdf), p77(REL_AnnualReport2017-18.pdf), p57(REL_AnnualReport2017-18.pdf), p81(REL_AnnualReport2017-18.pdf), p27(REL_AnnualReport2017-18.pdf)</t>
        </is>
      </c>
    </row>
    <row r="3">
      <c r="A3" t="inlineStr">
        <is>
          <t>(b) Capital work-in-progress</t>
        </is>
      </c>
      <c r="B3" t="inlineStr">
        <is>
          <t>Non-current assets</t>
        </is>
      </c>
      <c r="C3" t="inlineStr">
        <is>
          <t>186.4</t>
        </is>
      </c>
      <c r="D3" t="inlineStr">
        <is>
          <t>527.16</t>
        </is>
      </c>
      <c r="E3" s="61" t="inlineStr">
        <is>
          <t>changed</t>
        </is>
      </c>
      <c r="F3" t="n">
        <v>0.8</v>
      </c>
      <c r="G3" t="inlineStr">
        <is>
          <t>p77(REL_AnnualReport2017-18.pdf), p27(REL_AnnualReport2017-18.pdf), p63(REL_AnnualReport2017-18.pdf), p55(REL_AnnualReport2017-18.pdf), p89(REL_AnnualReport2017-18.pdf)</t>
        </is>
      </c>
    </row>
    <row r="4">
      <c r="A4" t="inlineStr">
        <is>
          <t>(c) Investment Property</t>
        </is>
      </c>
      <c r="B4" t="inlineStr">
        <is>
          <t>Non-current assets</t>
        </is>
      </c>
      <c r="C4" t="inlineStr"/>
      <c r="D4" t="inlineStr"/>
      <c r="E4" t="inlineStr">
        <is>
          <t>not_found</t>
        </is>
      </c>
      <c r="F4" t="inlineStr"/>
      <c r="G4" t="inlineStr">
        <is>
          <t>p77(REL_AnnualReport2017-18.pdf), p63(REL_AnnualReport2017-18.pdf), p83(REL_AnnualReport2017-18.pdf), p87(REL_AnnualReport2017-18.pdf), p58(REL_AnnualReport2017-18.pdf)</t>
        </is>
      </c>
    </row>
    <row r="5">
      <c r="A5" t="inlineStr">
        <is>
          <t>(d) Goodwill</t>
        </is>
      </c>
      <c r="B5" t="inlineStr">
        <is>
          <t>Non-current assets</t>
        </is>
      </c>
      <c r="C5" t="inlineStr"/>
      <c r="D5" t="inlineStr"/>
      <c r="E5" t="inlineStr">
        <is>
          <t>not_found</t>
        </is>
      </c>
      <c r="F5" t="inlineStr"/>
      <c r="G5" t="inlineStr">
        <is>
          <t>p77(REL_AnnualReport2017-18.pdf), p63(REL_AnnualReport2017-18.pdf), p57(REL_AnnualReport2017-18.pdf), p82(REL_AnnualReport2017-18.pdf), p27(REL_AnnualReport2017-18.pdf)</t>
        </is>
      </c>
    </row>
    <row r="6">
      <c r="A6" t="inlineStr">
        <is>
          <t>(e) Other Intangible assets</t>
        </is>
      </c>
      <c r="B6" t="inlineStr">
        <is>
          <t>Non-current assets</t>
        </is>
      </c>
      <c r="C6" t="inlineStr"/>
      <c r="D6" t="inlineStr"/>
      <c r="E6" t="inlineStr">
        <is>
          <t>not_found</t>
        </is>
      </c>
      <c r="F6" t="inlineStr"/>
      <c r="G6" t="inlineStr">
        <is>
          <t>p77(REL_AnnualReport2017-18.pdf), p57(REL_AnnualReport2017-18.pdf), p63(REL_AnnualReport2017-18.pdf), p82(REL_AnnualReport2017-18.pdf), p55(REL_AnnualReport2017-18.pdf)</t>
        </is>
      </c>
    </row>
    <row r="7">
      <c r="A7" t="inlineStr">
        <is>
          <t>(f) Intangible assets under development</t>
        </is>
      </c>
      <c r="B7" t="inlineStr">
        <is>
          <t>Non-current assets</t>
        </is>
      </c>
      <c r="C7" t="inlineStr"/>
      <c r="D7" t="inlineStr"/>
      <c r="E7" t="inlineStr">
        <is>
          <t>not_found</t>
        </is>
      </c>
      <c r="F7" t="inlineStr"/>
      <c r="G7" t="inlineStr">
        <is>
          <t>p77(REL_AnnualReport2017-18.pdf), p57(REL_AnnualReport2017-18.pdf), p63(REL_AnnualReport2017-18.pdf), p82(REL_AnnualReport2017-18.pdf), p27(REL_AnnualReport2017-18.pdf)</t>
        </is>
      </c>
    </row>
    <row r="8">
      <c r="A8" t="inlineStr">
        <is>
          <t>(g) Biological Assets other than bearer plants</t>
        </is>
      </c>
      <c r="B8" t="inlineStr">
        <is>
          <t>Non-current assets</t>
        </is>
      </c>
      <c r="C8" t="inlineStr"/>
      <c r="D8" t="inlineStr"/>
      <c r="E8" t="inlineStr">
        <is>
          <t>not_found</t>
        </is>
      </c>
      <c r="F8" t="inlineStr"/>
      <c r="G8" t="inlineStr">
        <is>
          <t>p77(REL_AnnualReport2017-18.pdf), p63(REL_AnnualReport2017-18.pdf), p55(REL_AnnualReport2017-18.pdf), p27(REL_AnnualReport2017-18.pdf), p57(REL_AnnualReport2017-18.pdf)</t>
        </is>
      </c>
    </row>
    <row r="9">
      <c r="A9" t="inlineStr">
        <is>
          <t>(h) Financial Assets</t>
        </is>
      </c>
      <c r="B9" t="inlineStr">
        <is>
          <t>Non-current assets</t>
        </is>
      </c>
      <c r="C9" t="inlineStr"/>
      <c r="D9" t="inlineStr"/>
      <c r="E9" t="inlineStr">
        <is>
          <t>skipped</t>
        </is>
      </c>
      <c r="F9" t="inlineStr"/>
      <c r="G9" t="inlineStr"/>
    </row>
    <row r="10">
      <c r="A10" t="inlineStr">
        <is>
          <t>(i) Investments</t>
        </is>
      </c>
      <c r="B10" t="inlineStr">
        <is>
          <t>Non-current assets</t>
        </is>
      </c>
      <c r="C10" t="inlineStr">
        <is>
          <t>71953.48</t>
        </is>
      </c>
      <c r="D10" t="inlineStr">
        <is>
          <t>71,953.48</t>
        </is>
      </c>
      <c r="E10" s="63" t="inlineStr">
        <is>
          <t>verified</t>
        </is>
      </c>
      <c r="F10" t="n">
        <v>0.8</v>
      </c>
      <c r="G10" t="inlineStr">
        <is>
          <t>p77(REL_AnnualReport2017-18.pdf), p63(REL_AnnualReport2017-18.pdf), p55(REL_AnnualReport2017-18.pdf), p27(REL_AnnualReport2017-18.pdf), p52(REL_AnnualReport2017-18.pdf)</t>
        </is>
      </c>
    </row>
    <row r="11">
      <c r="A11" t="inlineStr">
        <is>
          <t>(ii) Trade receivables</t>
        </is>
      </c>
      <c r="B11" t="inlineStr">
        <is>
          <t>Non-current assets</t>
        </is>
      </c>
      <c r="C11" t="inlineStr">
        <is>
          <t>159690.91</t>
        </is>
      </c>
      <c r="D11" t="inlineStr"/>
      <c r="E11" t="inlineStr">
        <is>
          <t>not_found</t>
        </is>
      </c>
      <c r="F11" t="inlineStr"/>
      <c r="G11" t="inlineStr">
        <is>
          <t>p84(REL_AnnualReport2017-18.pdf), p77(REL_AnnualReport2017-18.pdf), p52(REL_AnnualReport2017-18.pdf), p62(REL_AnnualReport2017-18.pdf), p63(REL_AnnualReport2017-18.pdf)</t>
        </is>
      </c>
    </row>
    <row r="12">
      <c r="A12" t="inlineStr">
        <is>
          <t>(iii) Loans</t>
        </is>
      </c>
      <c r="B12" t="inlineStr">
        <is>
          <t>Non-current assets</t>
        </is>
      </c>
      <c r="C12" t="inlineStr"/>
      <c r="D12" t="inlineStr"/>
      <c r="E12" t="inlineStr">
        <is>
          <t>not_found</t>
        </is>
      </c>
      <c r="F12" t="inlineStr"/>
      <c r="G12" t="inlineStr">
        <is>
          <t>p77(REL_AnnualReport2017-18.pdf), p27(REL_AnnualReport2017-18.pdf), p89(REL_AnnualReport2017-18.pdf), p63(REL_AnnualReport2017-18.pdf), p79(REL_AnnualReport2017-18.pdf)</t>
        </is>
      </c>
    </row>
    <row r="13">
      <c r="A13" t="inlineStr">
        <is>
          <t>(iv) Others (to be specified)</t>
        </is>
      </c>
      <c r="B13" t="inlineStr">
        <is>
          <t>Non-current assets</t>
        </is>
      </c>
      <c r="C13" t="inlineStr"/>
      <c r="D13" t="inlineStr"/>
      <c r="E13" t="inlineStr">
        <is>
          <t>not_found</t>
        </is>
      </c>
      <c r="F13" t="inlineStr"/>
      <c r="G13" t="inlineStr">
        <is>
          <t>p77(REL_AnnualReport2017-18.pdf), p63(REL_AnnualReport2017-18.pdf), p55(REL_AnnualReport2017-18.pdf), p27(REL_AnnualReport2017-18.pdf), p57(REL_AnnualReport2017-18.pdf)</t>
        </is>
      </c>
    </row>
    <row r="14">
      <c r="A14" t="inlineStr">
        <is>
          <t>(i) Deferred tax assets (net)</t>
        </is>
      </c>
      <c r="B14" t="inlineStr">
        <is>
          <t>Non-current assets</t>
        </is>
      </c>
      <c r="C14" t="inlineStr"/>
      <c r="D14" t="inlineStr"/>
      <c r="E14" t="inlineStr">
        <is>
          <t>not_found</t>
        </is>
      </c>
      <c r="F14" t="inlineStr"/>
      <c r="G14" t="inlineStr">
        <is>
          <t>p60(REL_AnnualReport2017-18.pdf), p85(REL_AnnualReport2017-18.pdf), p95(REL_AnnualReport2017-18.pdf), p61(REL_AnnualReport2017-18.pdf), p71(REL_AnnualReport2017-18.pdf)</t>
        </is>
      </c>
    </row>
    <row r="15">
      <c r="A15" t="inlineStr">
        <is>
          <t>(j) Other non-current assets</t>
        </is>
      </c>
      <c r="B15" t="inlineStr">
        <is>
          <t>Non-current assets</t>
        </is>
      </c>
      <c r="C15" t="inlineStr">
        <is>
          <t>1992938.26</t>
        </is>
      </c>
      <c r="D15" t="inlineStr"/>
      <c r="E15" t="inlineStr">
        <is>
          <t>not_found</t>
        </is>
      </c>
      <c r="F15" t="inlineStr"/>
      <c r="G15" t="inlineStr">
        <is>
          <t>p77(REL_AnnualReport2017-18.pdf), p63(REL_AnnualReport2017-18.pdf), p27(REL_AnnualReport2017-18.pdf), p55(REL_AnnualReport2017-18.pdf), p57(REL_AnnualReport2017-18.pdf)</t>
        </is>
      </c>
    </row>
    <row r="16">
      <c r="A16" t="inlineStr">
        <is>
          <t>(a) Inventories</t>
        </is>
      </c>
      <c r="B16" t="inlineStr">
        <is>
          <t>Current assets</t>
        </is>
      </c>
      <c r="C16" t="inlineStr">
        <is>
          <t>105084.15</t>
        </is>
      </c>
      <c r="D16" t="inlineStr">
        <is>
          <t>172,196.57</t>
        </is>
      </c>
      <c r="E16" s="61" t="inlineStr">
        <is>
          <t>changed</t>
        </is>
      </c>
      <c r="F16" t="n">
        <v>0.8</v>
      </c>
      <c r="G16" t="inlineStr">
        <is>
          <t>p77(REL_AnnualReport2017-18.pdf), p63(REL_AnnualReport2017-18.pdf), p27(REL_AnnualReport2017-18.pdf), p57(REL_AnnualReport2017-18.pdf), p55(REL_AnnualReport2017-18.pdf)</t>
        </is>
      </c>
    </row>
    <row r="17">
      <c r="A17" t="inlineStr">
        <is>
          <t>(b) Financial Assets</t>
        </is>
      </c>
      <c r="B17" t="inlineStr">
        <is>
          <t>Current assets</t>
        </is>
      </c>
      <c r="C17" t="inlineStr"/>
      <c r="D17" t="inlineStr"/>
      <c r="E17" t="inlineStr">
        <is>
          <t>skipped</t>
        </is>
      </c>
      <c r="F17" t="inlineStr"/>
      <c r="G17" t="inlineStr"/>
    </row>
    <row r="18">
      <c r="A18" t="inlineStr">
        <is>
          <t>(i) Investments</t>
        </is>
      </c>
      <c r="B18" t="inlineStr">
        <is>
          <t>Current assets</t>
        </is>
      </c>
      <c r="C18" t="inlineStr">
        <is>
          <t>71953.48</t>
        </is>
      </c>
      <c r="D18" t="inlineStr"/>
      <c r="E18" t="inlineStr">
        <is>
          <t>not_found</t>
        </is>
      </c>
      <c r="F18" t="inlineStr"/>
      <c r="G18" t="inlineStr">
        <is>
          <t>p77(REL_AnnualReport2017-18.pdf), p63(REL_AnnualReport2017-18.pdf), p55(REL_AnnualReport2017-18.pdf), p27(REL_AnnualReport2017-18.pdf), p52(REL_AnnualReport2017-18.pdf)</t>
        </is>
      </c>
    </row>
    <row r="19">
      <c r="A19" t="inlineStr">
        <is>
          <t>(ii) Trade receivables</t>
        </is>
      </c>
      <c r="B19" t="inlineStr">
        <is>
          <t>Current assets</t>
        </is>
      </c>
      <c r="C19" t="inlineStr">
        <is>
          <t>159690.91</t>
        </is>
      </c>
      <c r="D19" t="inlineStr">
        <is>
          <t>159,690.91</t>
        </is>
      </c>
      <c r="E19" s="63" t="inlineStr">
        <is>
          <t>verified</t>
        </is>
      </c>
      <c r="F19" t="n">
        <v>0.8</v>
      </c>
      <c r="G19" t="inlineStr">
        <is>
          <t>p84(REL_AnnualReport2017-18.pdf), p77(REL_AnnualReport2017-18.pdf), p52(REL_AnnualReport2017-18.pdf), p80(REL_AnnualReport2017-18.pdf), p63(REL_AnnualReport2017-18.pdf)</t>
        </is>
      </c>
    </row>
    <row r="20">
      <c r="A20" t="inlineStr">
        <is>
          <t>(iii) Cash and cash equivalents</t>
        </is>
      </c>
      <c r="B20" t="inlineStr">
        <is>
          <t>Current assets</t>
        </is>
      </c>
      <c r="C20" t="inlineStr">
        <is>
          <t>1362599.26</t>
        </is>
      </c>
      <c r="D20" t="inlineStr">
        <is>
          <t>1,446,955.00</t>
        </is>
      </c>
      <c r="E20" s="61" t="inlineStr">
        <is>
          <t>changed</t>
        </is>
      </c>
      <c r="F20" t="n">
        <v>0.8</v>
      </c>
      <c r="G20" t="inlineStr">
        <is>
          <t>p77(REL_AnnualReport2017-18.pdf), p89(REL_AnnualReport2017-18.pdf), p27(REL_AnnualReport2017-18.pdf), p79(REL_AnnualReport2017-18.pdf), p63(REL_AnnualReport2017-18.pdf)</t>
        </is>
      </c>
    </row>
    <row r="21">
      <c r="A21" t="inlineStr">
        <is>
          <t>(iv) Bank balances other than (iii) above</t>
        </is>
      </c>
      <c r="B21" t="inlineStr">
        <is>
          <t>Current assets</t>
        </is>
      </c>
      <c r="C21" t="inlineStr"/>
      <c r="D21" t="inlineStr"/>
      <c r="E21" t="inlineStr">
        <is>
          <t>not_found</t>
        </is>
      </c>
      <c r="F21" t="inlineStr"/>
      <c r="G21" t="inlineStr">
        <is>
          <t>p77(REL_AnnualReport2017-18.pdf), p89(REL_AnnualReport2017-18.pdf), p27(REL_AnnualReport2017-18.pdf), p63(REL_AnnualReport2017-18.pdf), p55(REL_AnnualReport2017-18.pdf)</t>
        </is>
      </c>
    </row>
    <row r="22">
      <c r="A22" t="inlineStr">
        <is>
          <t>(v) Loans</t>
        </is>
      </c>
      <c r="B22" t="inlineStr">
        <is>
          <t>Current assets</t>
        </is>
      </c>
      <c r="C22" t="inlineStr">
        <is>
          <t>235049.47</t>
        </is>
      </c>
      <c r="D22" t="inlineStr"/>
      <c r="E22" t="inlineStr">
        <is>
          <t>not_found</t>
        </is>
      </c>
      <c r="F22" t="inlineStr"/>
      <c r="G22" t="inlineStr">
        <is>
          <t>p27(REL_AnnualReport2017-18.pdf), p77(REL_AnnualReport2017-18.pdf), p89(REL_AnnualReport2017-18.pdf), p63(REL_AnnualReport2017-18.pdf), p79(REL_AnnualReport2017-18.pdf)</t>
        </is>
      </c>
    </row>
    <row r="23">
      <c r="A23" t="inlineStr">
        <is>
          <t>(vi) Others (to be specified)</t>
        </is>
      </c>
      <c r="B23" t="inlineStr">
        <is>
          <t>Current assets</t>
        </is>
      </c>
      <c r="C23" t="inlineStr"/>
      <c r="D23" t="inlineStr"/>
      <c r="E23" t="inlineStr">
        <is>
          <t>not_found</t>
        </is>
      </c>
      <c r="F23" t="inlineStr"/>
      <c r="G23" t="inlineStr">
        <is>
          <t>p77(REL_AnnualReport2017-18.pdf), p63(REL_AnnualReport2017-18.pdf), p55(REL_AnnualReport2017-18.pdf), p27(REL_AnnualReport2017-18.pdf), p59(REL_AnnualReport2017-18.pdf)</t>
        </is>
      </c>
    </row>
    <row r="24">
      <c r="A24" t="inlineStr">
        <is>
          <t>(c) Current Tax Assets (Net)</t>
        </is>
      </c>
      <c r="B24" t="inlineStr">
        <is>
          <t>Current assets</t>
        </is>
      </c>
      <c r="C24" t="inlineStr"/>
      <c r="D24" t="inlineStr"/>
      <c r="E24" t="inlineStr">
        <is>
          <t>not_found</t>
        </is>
      </c>
      <c r="F24" t="inlineStr"/>
      <c r="G24" t="inlineStr">
        <is>
          <t>p63(REL_AnnualReport2017-18.pdf), p27(REL_AnnualReport2017-18.pdf), p77(REL_AnnualReport2017-18.pdf), p60(REL_AnnualReport2017-18.pdf), p85(REL_AnnualReport2017-18.pdf)</t>
        </is>
      </c>
    </row>
    <row r="25">
      <c r="A25" t="inlineStr">
        <is>
          <t>(d) Other current assets</t>
        </is>
      </c>
      <c r="B25" t="inlineStr">
        <is>
          <t>Current assets</t>
        </is>
      </c>
      <c r="C25" t="inlineStr">
        <is>
          <t>51846.28</t>
        </is>
      </c>
      <c r="D25" t="inlineStr">
        <is>
          <t>51,846.28</t>
        </is>
      </c>
      <c r="E25" s="63" t="inlineStr">
        <is>
          <t>verified</t>
        </is>
      </c>
      <c r="F25" t="n">
        <v>0.8</v>
      </c>
      <c r="G25" t="inlineStr">
        <is>
          <t>p77(REL_AnnualReport2017-18.pdf), p63(REL_AnnualReport2017-18.pdf), p55(REL_AnnualReport2017-18.pdf), p27(REL_AnnualReport2017-18.pdf), p52(REL_AnnualReport2017-18.pdf)</t>
        </is>
      </c>
    </row>
    <row r="26">
      <c r="A26" t="inlineStr">
        <is>
          <t>Equity Share Capital</t>
        </is>
      </c>
      <c r="B26" t="inlineStr">
        <is>
          <t>Equity</t>
        </is>
      </c>
      <c r="C26" t="inlineStr">
        <is>
          <t>2952.6</t>
        </is>
      </c>
      <c r="D26" t="inlineStr">
        <is>
          <t>2,952.60</t>
        </is>
      </c>
      <c r="E26" s="61" t="inlineStr">
        <is>
          <t>changed</t>
        </is>
      </c>
      <c r="F26" t="n">
        <v>0.8</v>
      </c>
      <c r="G26" t="inlineStr">
        <is>
          <t>p55(REL_AnnualReport2017-18.pdf), p80(REL_AnnualReport2017-18.pdf), p77(REL_AnnualReport2017-18.pdf), p73(REL_AnnualReport2017-18.pdf), p66(REL_AnnualReport2017-18.pdf)</t>
        </is>
      </c>
    </row>
    <row r="27">
      <c r="A27" t="inlineStr">
        <is>
          <t>Other Equity</t>
        </is>
      </c>
      <c r="B27" t="inlineStr">
        <is>
          <t>Equity</t>
        </is>
      </c>
      <c r="C27" t="inlineStr">
        <is>
          <t>412070.28</t>
        </is>
      </c>
      <c r="D27" t="inlineStr"/>
      <c r="E27" t="inlineStr">
        <is>
          <t>not_found</t>
        </is>
      </c>
      <c r="F27" t="inlineStr"/>
      <c r="G27" t="inlineStr">
        <is>
          <t>p55(REL_AnnualReport2017-18.pdf), p80(REL_AnnualReport2017-18.pdf), p77(REL_AnnualReport2017-18.pdf), p66(REL_AnnualReport2017-18.pdf), p90(REL_AnnualReport2017-18.pdf)</t>
        </is>
      </c>
    </row>
    <row r="28">
      <c r="A28" t="inlineStr">
        <is>
          <t>(a) Financial Liabilities</t>
        </is>
      </c>
      <c r="B28" t="inlineStr">
        <is>
          <t>Non-current liabilities</t>
        </is>
      </c>
      <c r="C28" t="inlineStr"/>
      <c r="D28" t="inlineStr"/>
      <c r="E28" t="inlineStr">
        <is>
          <t>skipped</t>
        </is>
      </c>
      <c r="F28" t="inlineStr"/>
      <c r="G28" t="inlineStr"/>
    </row>
    <row r="29">
      <c r="A29" t="inlineStr">
        <is>
          <t>(i) Borrowings</t>
        </is>
      </c>
      <c r="B29" t="inlineStr">
        <is>
          <t>Non-current liabilities</t>
        </is>
      </c>
      <c r="C29" t="inlineStr">
        <is>
          <t>859454.59</t>
        </is>
      </c>
      <c r="D29" t="inlineStr"/>
      <c r="E29" t="inlineStr">
        <is>
          <t>not_found</t>
        </is>
      </c>
      <c r="F29" t="inlineStr"/>
      <c r="G29" t="inlineStr">
        <is>
          <t>p27(REL_AnnualReport2017-18.pdf), p77(REL_AnnualReport2017-18.pdf), p89(REL_AnnualReport2017-18.pdf), p79(REL_AnnualReport2017-18.pdf), p55(REL_AnnualReport2017-18.pdf)</t>
        </is>
      </c>
    </row>
    <row r="30">
      <c r="A30" t="inlineStr">
        <is>
          <t>(ii) Trade Payables</t>
        </is>
      </c>
      <c r="B30" t="inlineStr">
        <is>
          <t>Non-current liabilities</t>
        </is>
      </c>
      <c r="C30" t="inlineStr"/>
      <c r="D30" t="inlineStr"/>
      <c r="E30" t="inlineStr">
        <is>
          <t>skipped</t>
        </is>
      </c>
      <c r="F30" t="inlineStr"/>
      <c r="G30" t="inlineStr"/>
    </row>
    <row r="31">
      <c r="A31" t="inlineStr">
        <is>
          <t>(A) total outstanding dues of micro enterprises and small enterprises; and</t>
        </is>
      </c>
      <c r="B31" t="inlineStr">
        <is>
          <t>Non-current liabilities</t>
        </is>
      </c>
      <c r="C31" t="inlineStr"/>
      <c r="D31" t="inlineStr"/>
      <c r="E31" t="inlineStr">
        <is>
          <t>not_found</t>
        </is>
      </c>
      <c r="F31" t="inlineStr"/>
      <c r="G31" t="inlineStr">
        <is>
          <t>p55(REL_AnnualReport2017-18.pdf), p77(REL_AnnualReport2017-18.pdf), p27(REL_AnnualReport2017-18.pdf), p63(REL_AnnualReport2017-18.pdf), p39(REL_AnnualReport2017-18.pdf)</t>
        </is>
      </c>
    </row>
    <row r="32">
      <c r="A32" t="inlineStr">
        <is>
          <t>(B) total outstanding dues of creditors other than micro enterprises and small enterprises.</t>
        </is>
      </c>
      <c r="B32" t="inlineStr">
        <is>
          <t>Non-current liabilities</t>
        </is>
      </c>
      <c r="C32" t="inlineStr">
        <is>
          <t>645</t>
        </is>
      </c>
      <c r="D32" t="inlineStr"/>
      <c r="E32" t="inlineStr">
        <is>
          <t>not_found</t>
        </is>
      </c>
      <c r="F32" t="inlineStr"/>
      <c r="G32" t="inlineStr">
        <is>
          <t>p27(REL_AnnualReport2017-18.pdf), p55(REL_AnnualReport2017-18.pdf), p77(REL_AnnualReport2017-18.pdf), p89(REL_AnnualReport2017-18.pdf), p79(REL_AnnualReport2017-18.pdf)</t>
        </is>
      </c>
    </row>
    <row r="33">
      <c r="A33" t="inlineStr">
        <is>
          <t>(iii) Other financial liabilities</t>
        </is>
      </c>
      <c r="B33" t="inlineStr">
        <is>
          <t>Non-current liabilities</t>
        </is>
      </c>
      <c r="C33" t="inlineStr"/>
      <c r="D33" t="inlineStr"/>
      <c r="E33" t="inlineStr">
        <is>
          <t>not_found</t>
        </is>
      </c>
      <c r="F33" t="inlineStr"/>
      <c r="G33" t="inlineStr">
        <is>
          <t>p77(REL_AnnualReport2017-18.pdf), p59(REL_AnnualReport2017-18.pdf), p55(REL_AnnualReport2017-18.pdf), p47(REL_AnnualReport2017-18.pdf), p27(REL_AnnualReport2017-18.pdf)</t>
        </is>
      </c>
    </row>
    <row r="34">
      <c r="A34" t="inlineStr">
        <is>
          <t>(b) Provisions</t>
        </is>
      </c>
      <c r="B34" t="inlineStr">
        <is>
          <t>Non-current liabilities</t>
        </is>
      </c>
      <c r="C34" t="inlineStr">
        <is>
          <t>58.93</t>
        </is>
      </c>
      <c r="D34" t="inlineStr"/>
      <c r="E34" t="inlineStr">
        <is>
          <t>not_found</t>
        </is>
      </c>
      <c r="F34" t="inlineStr"/>
      <c r="G34" t="inlineStr">
        <is>
          <t>p62(REL_AnnualReport2017-18.pdf), p47(REL_AnnualReport2017-18.pdf), p87(REL_AnnualReport2017-18.pdf), p55(REL_AnnualReport2017-18.pdf), p81(REL_AnnualReport2017-18.pdf)</t>
        </is>
      </c>
    </row>
    <row r="35">
      <c r="A35" t="inlineStr">
        <is>
          <t>(c) Deferred tax liabilities (Net)</t>
        </is>
      </c>
      <c r="B35" t="inlineStr">
        <is>
          <t>Non-current liabilities</t>
        </is>
      </c>
      <c r="C35" t="inlineStr">
        <is>
          <t>461.67</t>
        </is>
      </c>
      <c r="D35" t="inlineStr"/>
      <c r="E35" t="inlineStr">
        <is>
          <t>not_found</t>
        </is>
      </c>
      <c r="F35" t="inlineStr"/>
      <c r="G35" t="inlineStr">
        <is>
          <t>p60(REL_AnnualReport2017-18.pdf), p85(REL_AnnualReport2017-18.pdf), p71(REL_AnnualReport2017-18.pdf), p95(REL_AnnualReport2017-18.pdf), p61(REL_AnnualReport2017-18.pdf)</t>
        </is>
      </c>
    </row>
    <row r="36">
      <c r="A36" t="inlineStr">
        <is>
          <t>(d) Other non-current liabilities</t>
        </is>
      </c>
      <c r="B36" t="inlineStr">
        <is>
          <t>Non-current liabilities</t>
        </is>
      </c>
      <c r="C36" t="inlineStr"/>
      <c r="D36" t="inlineStr"/>
      <c r="E36" t="inlineStr">
        <is>
          <t>not_found</t>
        </is>
      </c>
      <c r="F36" t="inlineStr"/>
      <c r="G36" t="inlineStr">
        <is>
          <t>p77(REL_AnnualReport2017-18.pdf), p55(REL_AnnualReport2017-18.pdf), p59(REL_AnnualReport2017-18.pdf), p84(REL_AnnualReport2017-18.pdf), p27(REL_AnnualReport2017-18.pdf)</t>
        </is>
      </c>
    </row>
    <row r="37">
      <c r="A37" t="inlineStr">
        <is>
          <t>(a) Financial Liabilities</t>
        </is>
      </c>
      <c r="B37" t="inlineStr">
        <is>
          <t>Current liabilities</t>
        </is>
      </c>
      <c r="C37" t="inlineStr"/>
      <c r="D37" t="inlineStr"/>
      <c r="E37" t="inlineStr">
        <is>
          <t>skipped</t>
        </is>
      </c>
      <c r="F37" t="inlineStr"/>
      <c r="G37" t="inlineStr"/>
    </row>
    <row r="38">
      <c r="A38" t="inlineStr">
        <is>
          <t>(i) Borrowings</t>
        </is>
      </c>
      <c r="B38" t="inlineStr">
        <is>
          <t>Current liabilities</t>
        </is>
      </c>
      <c r="C38" t="inlineStr">
        <is>
          <t>859454.59</t>
        </is>
      </c>
      <c r="D38" t="inlineStr"/>
      <c r="E38" t="inlineStr">
        <is>
          <t>not_found</t>
        </is>
      </c>
      <c r="F38" t="inlineStr"/>
      <c r="G38" t="inlineStr">
        <is>
          <t>p27(REL_AnnualReport2017-18.pdf), p77(REL_AnnualReport2017-18.pdf), p89(REL_AnnualReport2017-18.pdf), p79(REL_AnnualReport2017-18.pdf), p55(REL_AnnualReport2017-18.pdf)</t>
        </is>
      </c>
    </row>
    <row r="39">
      <c r="A39" t="inlineStr">
        <is>
          <t>(ii) Trade payables</t>
        </is>
      </c>
      <c r="B39" t="inlineStr">
        <is>
          <t>Current liabilities</t>
        </is>
      </c>
      <c r="C39" t="inlineStr">
        <is>
          <t>710248.01</t>
        </is>
      </c>
      <c r="D39" t="inlineStr"/>
      <c r="E39" t="inlineStr">
        <is>
          <t>not_found</t>
        </is>
      </c>
      <c r="F39" t="inlineStr"/>
      <c r="G39" t="inlineStr">
        <is>
          <t>p84(REL_AnnualReport2017-18.pdf), p79(REL_AnnualReport2017-18.pdf), p27(REL_AnnualReport2017-18.pdf), p60(REL_AnnualReport2017-18.pdf), p77(REL_AnnualReport2017-18.pdf)</t>
        </is>
      </c>
    </row>
    <row r="40">
      <c r="A40" t="inlineStr">
        <is>
          <t>(iii) Other financial liabilities</t>
        </is>
      </c>
      <c r="B40" t="inlineStr">
        <is>
          <t>Current liabilities</t>
        </is>
      </c>
      <c r="C40" t="inlineStr"/>
      <c r="D40" t="inlineStr"/>
      <c r="E40" t="inlineStr">
        <is>
          <t>not_found</t>
        </is>
      </c>
      <c r="F40" t="inlineStr"/>
      <c r="G40" t="inlineStr">
        <is>
          <t>p55(REL_AnnualReport2017-18.pdf), p77(REL_AnnualReport2017-18.pdf), p59(REL_AnnualReport2017-18.pdf), p47(REL_AnnualReport2017-18.pdf), p27(REL_AnnualReport2017-18.pdf)</t>
        </is>
      </c>
    </row>
    <row r="41">
      <c r="A41" t="inlineStr">
        <is>
          <t>(b) Other current liabilities</t>
        </is>
      </c>
      <c r="B41" t="inlineStr">
        <is>
          <t>Current liabilities</t>
        </is>
      </c>
      <c r="C41" t="inlineStr">
        <is>
          <t>2324.43</t>
        </is>
      </c>
      <c r="D41" t="inlineStr">
        <is>
          <t>2,726.84</t>
        </is>
      </c>
      <c r="E41" s="61" t="inlineStr">
        <is>
          <t>changed</t>
        </is>
      </c>
      <c r="F41" t="n">
        <v>0.8</v>
      </c>
      <c r="G41" t="inlineStr">
        <is>
          <t>p55(REL_AnnualReport2017-18.pdf), p77(REL_AnnualReport2017-18.pdf), p59(REL_AnnualReport2017-18.pdf), p27(REL_AnnualReport2017-18.pdf), p47(REL_AnnualReport2017-18.pdf)</t>
        </is>
      </c>
    </row>
    <row r="42">
      <c r="A42" t="inlineStr">
        <is>
          <t>(c) Provisions</t>
        </is>
      </c>
      <c r="B42" t="inlineStr">
        <is>
          <t>Current liabilities</t>
        </is>
      </c>
      <c r="C42" t="inlineStr">
        <is>
          <t>4722.75</t>
        </is>
      </c>
      <c r="D42" t="inlineStr"/>
      <c r="E42" t="inlineStr">
        <is>
          <t>not_found</t>
        </is>
      </c>
      <c r="F42" t="inlineStr"/>
      <c r="G42" t="inlineStr">
        <is>
          <t>p62(REL_AnnualReport2017-18.pdf), p47(REL_AnnualReport2017-18.pdf), p81(REL_AnnualReport2017-18.pdf), p55(REL_AnnualReport2017-18.pdf), p79(REL_AnnualReport2017-18.pdf)</t>
        </is>
      </c>
    </row>
    <row r="43">
      <c r="A43" t="inlineStr">
        <is>
          <t>(d) Current Tax Liabilities (Net)</t>
        </is>
      </c>
      <c r="B43" t="inlineStr">
        <is>
          <t>Current liabilities</t>
        </is>
      </c>
      <c r="C43" t="inlineStr"/>
      <c r="D43" t="inlineStr"/>
      <c r="E43" t="inlineStr">
        <is>
          <t>not_found</t>
        </is>
      </c>
      <c r="F43" t="inlineStr"/>
      <c r="G43" t="inlineStr">
        <is>
          <t>p27(REL_AnnualReport2017-18.pdf), p77(REL_AnnualReport2017-18.pdf), p60(REL_AnnualReport2017-18.pdf), p85(REL_AnnualReport2017-18.pdf), p71(REL_AnnualReport2017-18.pdf)</t>
        </is>
      </c>
    </row>
    <row r="44">
      <c r="A44" t="inlineStr">
        <is>
          <t>I. Revenue from operations</t>
        </is>
      </c>
      <c r="B44" t="inlineStr">
        <is>
          <t>Income</t>
        </is>
      </c>
      <c r="C44" t="inlineStr">
        <is>
          <t>3366046.34</t>
        </is>
      </c>
      <c r="D44" t="inlineStr">
        <is>
          <t>3,366,046.34</t>
        </is>
      </c>
      <c r="E44" s="63" t="inlineStr">
        <is>
          <t>verified</t>
        </is>
      </c>
      <c r="F44" t="n">
        <v>0.8</v>
      </c>
      <c r="G44" t="inlineStr">
        <is>
          <t>p53(REL_AnnualReport2017-18.pdf), p7(REL_AnnualReport2017-18.pdf), p27(REL_AnnualReport2017-18.pdf), p39(REL_AnnualReport2017-18.pdf), p78(REL_AnnualReport2017-18.pdf)</t>
        </is>
      </c>
    </row>
    <row r="45">
      <c r="A45" t="inlineStr">
        <is>
          <t>II. Other income</t>
        </is>
      </c>
      <c r="B45" t="inlineStr">
        <is>
          <t>Income</t>
        </is>
      </c>
      <c r="C45" t="inlineStr">
        <is>
          <t>3825.43</t>
        </is>
      </c>
      <c r="D45" t="inlineStr">
        <is>
          <t>3,825.43</t>
        </is>
      </c>
      <c r="E45" s="63" t="inlineStr">
        <is>
          <t>verified</t>
        </is>
      </c>
      <c r="F45" t="n">
        <v>0.8</v>
      </c>
      <c r="G45" t="inlineStr">
        <is>
          <t>p53(REL_AnnualReport2017-18.pdf), p39(REL_AnnualReport2017-18.pdf), p7(REL_AnnualReport2017-18.pdf), p27(REL_AnnualReport2017-18.pdf), p55(REL_AnnualReport2017-18.pdf)</t>
        </is>
      </c>
    </row>
    <row r="46">
      <c r="A46" t="inlineStr">
        <is>
          <t>Cost of materials consumed</t>
        </is>
      </c>
      <c r="B46" t="inlineStr">
        <is>
          <t>IV. Expenses</t>
        </is>
      </c>
      <c r="C46" t="inlineStr">
        <is>
          <t>3273107.2</t>
        </is>
      </c>
      <c r="D46" t="inlineStr">
        <is>
          <t>3,273,107.20</t>
        </is>
      </c>
      <c r="E46" s="61" t="inlineStr">
        <is>
          <t>changed</t>
        </is>
      </c>
      <c r="F46" t="n">
        <v>0.8</v>
      </c>
      <c r="G46" t="inlineStr">
        <is>
          <t>p53(REL_AnnualReport2017-18.pdf), p39(REL_AnnualReport2017-18.pdf), p81(REL_AnnualReport2017-18.pdf), p56(REL_AnnualReport2017-18.pdf), p57(REL_AnnualReport2017-18.pdf)</t>
        </is>
      </c>
    </row>
    <row r="47">
      <c r="A47" t="inlineStr">
        <is>
          <t>Purchases of Stock-in-Trade</t>
        </is>
      </c>
      <c r="B47" t="inlineStr">
        <is>
          <t>IV. Expenses</t>
        </is>
      </c>
      <c r="C47" t="inlineStr"/>
      <c r="D47" t="inlineStr"/>
      <c r="E47" t="inlineStr">
        <is>
          <t>not_found</t>
        </is>
      </c>
      <c r="F47" t="inlineStr"/>
      <c r="G47" t="inlineStr">
        <is>
          <t>p53(REL_AnnualReport2017-18.pdf), p7(REL_AnnualReport2017-18.pdf), p79(REL_AnnualReport2017-18.pdf), p78(REL_AnnualReport2017-18.pdf), p47(REL_AnnualReport2017-18.pdf)</t>
        </is>
      </c>
    </row>
    <row r="48">
      <c r="A48" t="inlineStr">
        <is>
          <t>Changes in inventories of finished goods, work-in-progress and Stock-in-Trade</t>
        </is>
      </c>
      <c r="B48" t="inlineStr">
        <is>
          <t>IV. Expenses</t>
        </is>
      </c>
      <c r="C48" t="inlineStr"/>
      <c r="D48" t="inlineStr"/>
      <c r="E48" t="inlineStr">
        <is>
          <t>not_found</t>
        </is>
      </c>
      <c r="F48" t="inlineStr"/>
      <c r="G48" t="inlineStr">
        <is>
          <t>p53(REL_AnnualReport2017-18.pdf), p79(REL_AnnualReport2017-18.pdf), p63(REL_AnnualReport2017-18.pdf), p27(REL_AnnualReport2017-18.pdf), p7(REL_AnnualReport2017-18.pdf)</t>
        </is>
      </c>
    </row>
    <row r="49">
      <c r="A49" t="inlineStr">
        <is>
          <t>Employee benefits expense</t>
        </is>
      </c>
      <c r="B49" t="inlineStr">
        <is>
          <t>IV. Expenses</t>
        </is>
      </c>
      <c r="C49" t="inlineStr">
        <is>
          <t>619.13</t>
        </is>
      </c>
      <c r="D49" t="inlineStr">
        <is>
          <t>14,691.03</t>
        </is>
      </c>
      <c r="E49" s="61" t="inlineStr">
        <is>
          <t>changed</t>
        </is>
      </c>
      <c r="F49" t="n">
        <v>0.8</v>
      </c>
      <c r="G49" t="inlineStr">
        <is>
          <t>p53(REL_AnnualReport2017-18.pdf), p7(REL_AnnualReport2017-18.pdf), p71(REL_AnnualReport2017-18.pdf), p39(REL_AnnualReport2017-18.pdf), p78(REL_AnnualReport2017-18.pdf)</t>
        </is>
      </c>
    </row>
    <row r="50">
      <c r="A50" t="inlineStr">
        <is>
          <t>Finance costs</t>
        </is>
      </c>
      <c r="B50" t="inlineStr">
        <is>
          <t>IV. Expenses</t>
        </is>
      </c>
      <c r="C50" t="inlineStr">
        <is>
          <t>43083.39</t>
        </is>
      </c>
      <c r="D50" t="inlineStr">
        <is>
          <t>43,083.39</t>
        </is>
      </c>
      <c r="E50" s="63" t="inlineStr">
        <is>
          <t>verified</t>
        </is>
      </c>
      <c r="F50" t="n">
        <v>0.8</v>
      </c>
      <c r="G50" t="inlineStr">
        <is>
          <t>p53(REL_AnnualReport2017-18.pdf), p39(REL_AnnualReport2017-18.pdf), p27(REL_AnnualReport2017-18.pdf), p7(REL_AnnualReport2017-18.pdf), p79(REL_AnnualReport2017-18.pdf)</t>
        </is>
      </c>
    </row>
    <row r="51">
      <c r="A51" t="inlineStr">
        <is>
          <t>Depreciation and amortisation expense</t>
        </is>
      </c>
      <c r="B51" t="inlineStr">
        <is>
          <t>IV. Expenses</t>
        </is>
      </c>
      <c r="C51" t="inlineStr">
        <is>
          <t>149.19</t>
        </is>
      </c>
      <c r="D51" t="inlineStr">
        <is>
          <t>149.19</t>
        </is>
      </c>
      <c r="E51" s="63" t="inlineStr">
        <is>
          <t>verified</t>
        </is>
      </c>
      <c r="F51" t="n">
        <v>0.8</v>
      </c>
      <c r="G51" t="inlineStr">
        <is>
          <t>p53(REL_AnnualReport2017-18.pdf), p7(REL_AnnualReport2017-18.pdf), p81(REL_AnnualReport2017-18.pdf), p56(REL_AnnualReport2017-18.pdf), p63(REL_AnnualReport2017-18.pdf)</t>
        </is>
      </c>
    </row>
    <row r="52">
      <c r="A52" t="inlineStr">
        <is>
          <t>Other expenses</t>
        </is>
      </c>
      <c r="B52" t="inlineStr">
        <is>
          <t>IV. Expenses</t>
        </is>
      </c>
      <c r="C52" t="inlineStr">
        <is>
          <t>4072.75</t>
        </is>
      </c>
      <c r="D52" t="inlineStr"/>
      <c r="E52" t="inlineStr">
        <is>
          <t>not_found</t>
        </is>
      </c>
      <c r="F52" t="inlineStr"/>
      <c r="G52" t="inlineStr">
        <is>
          <t>p53(REL_AnnualReport2017-18.pdf), p7(REL_AnnualReport2017-18.pdf), p39(REL_AnnualReport2017-18.pdf), p63(REL_AnnualReport2017-18.pdf), p27(REL_AnnualReport2017-18.pdf)</t>
        </is>
      </c>
    </row>
    <row r="53">
      <c r="A53" t="inlineStr">
        <is>
          <t>(1) Current tax</t>
        </is>
      </c>
      <c r="B53" t="inlineStr">
        <is>
          <t>Taxes</t>
        </is>
      </c>
      <c r="C53" t="inlineStr">
        <is>
          <t>4722.75</t>
        </is>
      </c>
      <c r="D53" t="inlineStr"/>
      <c r="E53" t="inlineStr">
        <is>
          <t>not_found</t>
        </is>
      </c>
      <c r="F53" t="inlineStr"/>
      <c r="G53" t="inlineStr">
        <is>
          <t>p53(REL_AnnualReport2017-18.pdf), p85(REL_AnnualReport2017-18.pdf), p27(REL_AnnualReport2017-18.pdf), p7(REL_AnnualReport2017-18.pdf), p60(REL_AnnualReport2017-18.pdf)</t>
        </is>
      </c>
    </row>
    <row r="54">
      <c r="A54" t="inlineStr">
        <is>
          <t>(2) Deferred tax</t>
        </is>
      </c>
      <c r="B54" t="inlineStr">
        <is>
          <t>Taxes</t>
        </is>
      </c>
      <c r="C54" t="inlineStr">
        <is>
          <t>-1.02</t>
        </is>
      </c>
      <c r="D54" t="inlineStr">
        <is>
          <t>(1.02)</t>
        </is>
      </c>
      <c r="E54" s="63" t="inlineStr">
        <is>
          <t>verified</t>
        </is>
      </c>
      <c r="F54" t="n">
        <v>0.8</v>
      </c>
      <c r="G54" t="inlineStr">
        <is>
          <t>p53(REL_AnnualReport2017-18.pdf), p95(REL_AnnualReport2017-18.pdf), p71(REL_AnnualReport2017-18.pdf), p60(REL_AnnualReport2017-18.pdf), p85(REL_AnnualReport2017-18.pdf)</t>
        </is>
      </c>
    </row>
    <row r="55">
      <c r="A55" t="inlineStr">
        <is>
          <t>Cash Flows From Operations</t>
        </is>
      </c>
      <c r="B55" t="inlineStr">
        <is>
          <t>Cash Flow</t>
        </is>
      </c>
      <c r="C55" t="inlineStr">
        <is>
          <t>-285549.36</t>
        </is>
      </c>
      <c r="D55" t="inlineStr"/>
      <c r="E55" t="inlineStr">
        <is>
          <t>not_found</t>
        </is>
      </c>
      <c r="F55" t="inlineStr"/>
      <c r="G55" t="inlineStr">
        <is>
          <t>p79(REL_AnnualReport2017-18.pdf), p54(REL_AnnualReport2017-18.pdf), p79(REL_AnnualReport2017-18.pdf), p53(REL_AnnualReport2017-18.pdf), p63(REL_AnnualReport2017-18.pdf)</t>
        </is>
      </c>
    </row>
    <row r="56">
      <c r="A56" t="inlineStr">
        <is>
          <t>Cash Flows From Investing</t>
        </is>
      </c>
      <c r="B56" t="inlineStr">
        <is>
          <t>Cash Flow</t>
        </is>
      </c>
      <c r="C56" t="inlineStr">
        <is>
          <t>1109.34</t>
        </is>
      </c>
      <c r="D56" t="inlineStr"/>
      <c r="E56" t="inlineStr">
        <is>
          <t>not_found</t>
        </is>
      </c>
      <c r="F56" t="inlineStr"/>
      <c r="G56" t="inlineStr">
        <is>
          <t>p79(REL_AnnualReport2017-18.pdf), p54(REL_AnnualReport2017-18.pdf), p79(REL_AnnualReport2017-18.pdf), p53(REL_AnnualReport2017-18.pdf), p77(REL_AnnualReport2017-18.pdf)</t>
        </is>
      </c>
    </row>
    <row r="57">
      <c r="A57" t="inlineStr">
        <is>
          <t>Cash Flows From Financing</t>
        </is>
      </c>
      <c r="B57" t="inlineStr">
        <is>
          <t>Cash Flow</t>
        </is>
      </c>
      <c r="C57" t="inlineStr">
        <is>
          <t>269630.32</t>
        </is>
      </c>
      <c r="D57" t="inlineStr">
        <is>
          <t>259,580.41</t>
        </is>
      </c>
      <c r="E57" s="61" t="inlineStr">
        <is>
          <t>changed</t>
        </is>
      </c>
      <c r="F57" t="n">
        <v>0.8</v>
      </c>
      <c r="G57" t="inlineStr">
        <is>
          <t>p79(REL_AnnualReport2017-18.pdf), p54(REL_AnnualReport2017-18.pdf), p79(REL_AnnualReport2017-18.pdf), p27(REL_AnnualReport2017-18.pdf), p89(REL_AnnualReport2017-18.pdf)</t>
        </is>
      </c>
    </row>
    <row r="58">
      <c r="A58" t="inlineStr">
        <is>
          <t>Contingent Liabilities</t>
        </is>
      </c>
      <c r="B58" t="inlineStr">
        <is>
          <t>Other Financial Information</t>
        </is>
      </c>
      <c r="C58" t="inlineStr"/>
      <c r="D58" t="inlineStr"/>
      <c r="E58" t="inlineStr">
        <is>
          <t>not_found</t>
        </is>
      </c>
      <c r="F58" t="inlineStr"/>
      <c r="G58" t="inlineStr">
        <is>
          <t>p53(REL_AnnualReport2017-18.pdf), p62(REL_AnnualReport2017-18.pdf), p86(REL_AnnualReport2017-18.pdf), p87(REL_AnnualReport2017-18.pdf), p61(REL_AnnualReport2017-18.pdf)</t>
        </is>
      </c>
    </row>
    <row r="59">
      <c r="A59" t="inlineStr">
        <is>
          <t>Creditors outstanding for more than 1 year</t>
        </is>
      </c>
      <c r="B59" t="inlineStr">
        <is>
          <t>Other Financial Information</t>
        </is>
      </c>
      <c r="C59" t="inlineStr"/>
      <c r="D59" t="inlineStr"/>
      <c r="E59" t="inlineStr">
        <is>
          <t>not_found</t>
        </is>
      </c>
      <c r="F59" t="inlineStr"/>
      <c r="G59" t="inlineStr">
        <is>
          <t>p75(REL_AnnualReport2017-18.pdf), p27(REL_AnnualReport2017-18.pdf), p47(REL_AnnualReport2017-18.pdf), p55(REL_AnnualReport2017-18.pdf), p89(REL_AnnualReport2017-18.pdf)</t>
        </is>
      </c>
    </row>
    <row r="60">
      <c r="A60" t="inlineStr">
        <is>
          <t>Debtors outstanding for more than 1 year</t>
        </is>
      </c>
      <c r="B60" t="inlineStr">
        <is>
          <t>Other Financial Information</t>
        </is>
      </c>
      <c r="C60" t="inlineStr"/>
      <c r="D60" t="inlineStr"/>
      <c r="E60" t="inlineStr">
        <is>
          <t>not_found</t>
        </is>
      </c>
      <c r="F60" t="inlineStr"/>
      <c r="G60" t="inlineStr">
        <is>
          <t>p27(REL_AnnualReport2017-18.pdf), p89(REL_AnnualReport2017-18.pdf), p75(REL_AnnualReport2017-18.pdf), p10(REL_AnnualReport2017-18.pdf), p79(REL_AnnualReport2017-18.pdf)</t>
        </is>
      </c>
    </row>
    <row r="61">
      <c r="A61" t="inlineStr">
        <is>
          <t>Inventory outstanding for more than 180 days</t>
        </is>
      </c>
      <c r="B61" t="inlineStr">
        <is>
          <t>Other Financial Information</t>
        </is>
      </c>
      <c r="C61" t="inlineStr"/>
      <c r="D61" t="inlineStr"/>
      <c r="E61" t="inlineStr">
        <is>
          <t>not_found</t>
        </is>
      </c>
      <c r="F61" t="inlineStr"/>
      <c r="G61" t="inlineStr">
        <is>
          <t>p53(REL_AnnualReport2017-18.pdf), p50(REL_AnnualReport2017-18.pdf), p55(REL_AnnualReport2017-18.pdf), p27(REL_AnnualReport2017-18.pdf), p47(REL_AnnualReport2017-18.pdf)</t>
        </is>
      </c>
    </row>
    <row r="62">
      <c r="A62" t="inlineStr">
        <is>
          <t>Disputed Trade Receivable</t>
        </is>
      </c>
      <c r="B62" t="inlineStr">
        <is>
          <t>Other Financial Information</t>
        </is>
      </c>
      <c r="C62" t="inlineStr"/>
      <c r="D62" t="inlineStr"/>
      <c r="E62" t="inlineStr">
        <is>
          <t>not_found</t>
        </is>
      </c>
      <c r="F62" t="inlineStr"/>
      <c r="G62" t="inlineStr">
        <is>
          <t>p50(REL_AnnualReport2017-18.pdf), p72(REL_AnnualReport2017-18.pdf), p62(REL_AnnualReport2017-18.pdf), p80(REL_AnnualReport2017-18.pdf), p60(REL_AnnualReport2017-18.pdf)</t>
        </is>
      </c>
    </row>
    <row r="63">
      <c r="A63" t="inlineStr">
        <is>
          <t>Advance from Customers</t>
        </is>
      </c>
      <c r="B63" t="inlineStr">
        <is>
          <t>Other Financial Information</t>
        </is>
      </c>
      <c r="C63" t="inlineStr">
        <is>
          <t>170562.08</t>
        </is>
      </c>
      <c r="D63" t="inlineStr"/>
      <c r="E63" t="inlineStr">
        <is>
          <t>not_found</t>
        </is>
      </c>
      <c r="F63" t="inlineStr"/>
      <c r="G63" t="inlineStr">
        <is>
          <t>p62(REL_AnnualReport2017-18.pdf), p27(REL_AnnualReport2017-18.pdf), p53(REL_AnnualReport2017-18.pdf), p87(REL_AnnualReport2017-18.pdf), p79(REL_AnnualReport2017-18.pdf)</t>
        </is>
      </c>
    </row>
    <row r="64">
      <c r="A64" t="inlineStr">
        <is>
          <t>Power and fuel/electricity Expenses</t>
        </is>
      </c>
      <c r="B64" t="inlineStr">
        <is>
          <t>Other Financial Information</t>
        </is>
      </c>
      <c r="C64" t="inlineStr">
        <is>
          <t>-98.02</t>
        </is>
      </c>
      <c r="D64" t="inlineStr"/>
      <c r="E64" t="inlineStr">
        <is>
          <t>not_found</t>
        </is>
      </c>
      <c r="F64" t="inlineStr"/>
      <c r="G64" t="inlineStr">
        <is>
          <t>p53(REL_AnnualReport2017-18.pdf), p39(REL_AnnualReport2017-18.pdf), p47(REL_AnnualReport2017-18.pdf), p27(REL_AnnualReport2017-18.pdf), p7(REL_AnnualReport2017-18.pdf)</t>
        </is>
      </c>
    </row>
    <row r="65">
      <c r="A65" t="inlineStr">
        <is>
          <t>Significant impairment of assets/ write-offs</t>
        </is>
      </c>
      <c r="B65" t="inlineStr">
        <is>
          <t>Other Financial Information</t>
        </is>
      </c>
      <c r="C65" t="inlineStr"/>
      <c r="D65" t="inlineStr"/>
      <c r="E65" t="inlineStr">
        <is>
          <t>not_found</t>
        </is>
      </c>
      <c r="F65" t="inlineStr"/>
      <c r="G65" t="inlineStr">
        <is>
          <t>p53(REL_AnnualReport2017-18.pdf), p83(REL_AnnualReport2017-18.pdf), p58(REL_AnnualReport2017-18.pdf), p27(REL_AnnualReport2017-18.pdf), p79(REL_AnnualReport2017-18.pdf)</t>
        </is>
      </c>
    </row>
    <row r="66">
      <c r="A66" t="inlineStr">
        <is>
          <t>Auditors Remunerations</t>
        </is>
      </c>
      <c r="B66" t="inlineStr">
        <is>
          <t>Other Financial Information</t>
        </is>
      </c>
      <c r="C66" t="inlineStr"/>
      <c r="D66" t="inlineStr"/>
      <c r="E66" t="inlineStr">
        <is>
          <t>not_found</t>
        </is>
      </c>
      <c r="F66" t="inlineStr"/>
      <c r="G66" t="inlineStr">
        <is>
          <t>p75(REL_AnnualReport2017-18.pdf), p47(REL_AnnualReport2017-18.pdf), p53(REL_AnnualReport2017-18.pdf), p74(REL_AnnualReport2017-18.pdf), p55(REL_AnnualReport2017-18.pdf)</t>
        </is>
      </c>
    </row>
    <row r="67">
      <c r="A67" t="inlineStr">
        <is>
          <t>One-time revenue (revaluation of assets, etc.)</t>
        </is>
      </c>
      <c r="B67" t="inlineStr">
        <is>
          <t>Other Financial Information</t>
        </is>
      </c>
      <c r="C67" t="inlineStr"/>
      <c r="D67" t="inlineStr"/>
      <c r="E67" t="inlineStr">
        <is>
          <t>not_found</t>
        </is>
      </c>
      <c r="F67" t="inlineStr"/>
      <c r="G67" t="inlineStr">
        <is>
          <t>p53(REL_AnnualReport2017-18.pdf), p27(REL_AnnualReport2017-18.pdf), p63(REL_AnnualReport2017-18.pdf), p7(REL_AnnualReport2017-18.pdf), p62(REL_AnnualReport2017-18.pdf)</t>
        </is>
      </c>
    </row>
    <row r="68">
      <c r="A68" t="inlineStr">
        <is>
          <t>Provision for doubtful debts expense</t>
        </is>
      </c>
      <c r="B68" t="inlineStr">
        <is>
          <t>Other Financial Information</t>
        </is>
      </c>
      <c r="C68" t="inlineStr"/>
      <c r="D68" t="inlineStr"/>
      <c r="E68" t="inlineStr">
        <is>
          <t>not_found</t>
        </is>
      </c>
      <c r="F68" t="inlineStr"/>
      <c r="G68" t="inlineStr">
        <is>
          <t>p27(REL_AnnualReport2017-18.pdf), p53(REL_AnnualReport2017-18.pdf), p57(REL_AnnualReport2017-18.pdf), p79(REL_AnnualReport2017-18.pdf), p62(REL_AnnualReport2017-18.pdf)</t>
        </is>
      </c>
    </row>
    <row r="69">
      <c r="A69" t="inlineStr">
        <is>
          <t>Bad Debts expenses</t>
        </is>
      </c>
      <c r="B69" t="inlineStr">
        <is>
          <t>Other Financial Information</t>
        </is>
      </c>
      <c r="C69" t="inlineStr">
        <is>
          <t>0</t>
        </is>
      </c>
      <c r="D69" t="inlineStr"/>
      <c r="E69" t="inlineStr">
        <is>
          <t>not_found</t>
        </is>
      </c>
      <c r="F69" t="inlineStr"/>
      <c r="G69" t="inlineStr">
        <is>
          <t>p27(REL_AnnualReport2017-18.pdf), p53(REL_AnnualReport2017-18.pdf), p79(REL_AnnualReport2017-18.pdf), p75(REL_AnnualReport2017-18.pdf), p39(REL_AnnualReport2017-18.pdf)</t>
        </is>
      </c>
    </row>
    <row r="70">
      <c r="A70" t="inlineStr">
        <is>
          <t>RP Investments</t>
        </is>
      </c>
      <c r="B70" t="inlineStr">
        <is>
          <t>Other Financial Information</t>
        </is>
      </c>
      <c r="C70" t="inlineStr"/>
      <c r="D70" t="inlineStr"/>
      <c r="E70" t="inlineStr">
        <is>
          <t>not_found</t>
        </is>
      </c>
      <c r="F70" t="inlineStr"/>
      <c r="G70" t="inlineStr">
        <is>
          <t>p27(REL_AnnualReport2017-18.pdf), p53(REL_AnnualReport2017-18.pdf), p77(REL_AnnualReport2017-18.pdf), p55(REL_AnnualReport2017-18.pdf), p39(REL_AnnualReport2017-18.pdf)</t>
        </is>
      </c>
    </row>
    <row r="71">
      <c r="A71" t="inlineStr">
        <is>
          <t>RP Expenses</t>
        </is>
      </c>
      <c r="B71" t="inlineStr">
        <is>
          <t>Other Financial Information</t>
        </is>
      </c>
      <c r="C71" t="inlineStr"/>
      <c r="D71" t="inlineStr"/>
      <c r="E71" t="inlineStr">
        <is>
          <t>not_found</t>
        </is>
      </c>
      <c r="F71" t="inlineStr"/>
      <c r="G71" t="inlineStr">
        <is>
          <t>p53(REL_AnnualReport2017-18.pdf), p27(REL_AnnualReport2017-18.pdf), p39(REL_AnnualReport2017-18.pdf), p47(REL_AnnualReport2017-18.pdf), p7(REL_AnnualReport2017-18.pdf)</t>
        </is>
      </c>
    </row>
    <row r="72">
      <c r="A72" t="inlineStr">
        <is>
          <t>RP Revenues</t>
        </is>
      </c>
      <c r="B72" t="inlineStr">
        <is>
          <t>Other Financial Information</t>
        </is>
      </c>
      <c r="C72" t="inlineStr"/>
      <c r="D72" t="inlineStr"/>
      <c r="E72" t="inlineStr">
        <is>
          <t>not_found</t>
        </is>
      </c>
      <c r="F72" t="inlineStr"/>
      <c r="G72" t="inlineStr">
        <is>
          <t>p27(REL_AnnualReport2017-18.pdf), p53(REL_AnnualReport2017-18.pdf), p39(REL_AnnualReport2017-18.pdf), p7(REL_AnnualReport2017-18.pdf), p79(REL_AnnualReport2017-18.pdf)</t>
        </is>
      </c>
    </row>
    <row r="73">
      <c r="A73" t="inlineStr">
        <is>
          <t>RP Loan and Advances*</t>
        </is>
      </c>
      <c r="B73" t="inlineStr">
        <is>
          <t>Other Financial Information</t>
        </is>
      </c>
      <c r="C73" t="inlineStr">
        <is>
          <t>725.35</t>
        </is>
      </c>
      <c r="D73" t="inlineStr"/>
      <c r="E73" t="inlineStr">
        <is>
          <t>not_found</t>
        </is>
      </c>
      <c r="F73" t="inlineStr"/>
      <c r="G73" t="inlineStr">
        <is>
          <t>p27(REL_AnnualReport2017-18.pdf), p89(REL_AnnualReport2017-18.pdf), p77(REL_AnnualReport2017-18.pdf), p79(REL_AnnualReport2017-18.pdf), p53(REL_AnnualReport2017-18.pdf)</t>
        </is>
      </c>
    </row>
    <row r="74">
      <c r="A74" t="inlineStr">
        <is>
          <t>RP Bad debts</t>
        </is>
      </c>
      <c r="B74" t="inlineStr">
        <is>
          <t>Other Financial Information</t>
        </is>
      </c>
      <c r="C74" t="inlineStr"/>
      <c r="D74" t="inlineStr"/>
      <c r="E74" t="inlineStr">
        <is>
          <t>not_found</t>
        </is>
      </c>
      <c r="F74" t="inlineStr"/>
      <c r="G74" t="inlineStr">
        <is>
          <t>p27(REL_AnnualReport2017-18.pdf), p79(REL_AnnualReport2017-18.pdf), p89(REL_AnnualReport2017-18.pdf), p55(REL_AnnualReport2017-18.pdf), p77(REL_AnnualReport2017-18.pdf)</t>
        </is>
      </c>
    </row>
    <row r="75">
      <c r="A75" t="inlineStr">
        <is>
          <t>RP Loan (Liab)</t>
        </is>
      </c>
      <c r="B75" t="inlineStr">
        <is>
          <t>Other Financial Information</t>
        </is>
      </c>
      <c r="C75" t="inlineStr"/>
      <c r="D75" t="inlineStr"/>
      <c r="E75" t="inlineStr">
        <is>
          <t>not_found</t>
        </is>
      </c>
      <c r="F75" t="inlineStr"/>
      <c r="G75" t="inlineStr">
        <is>
          <t>p27(REL_AnnualReport2017-18.pdf), p79(REL_AnnualReport2017-18.pdf), p89(REL_AnnualReport2017-18.pdf), p77(REL_AnnualReport2017-18.pdf), p91(REL_AnnualReport2017-18.pdf)</t>
        </is>
      </c>
    </row>
    <row r="76">
      <c r="A76" t="inlineStr">
        <is>
          <t>Current maturities of borrowings/debts, including interest</t>
        </is>
      </c>
      <c r="B76" t="inlineStr">
        <is>
          <t>Other Financial Information</t>
        </is>
      </c>
      <c r="C76" t="inlineStr">
        <is>
          <t>-317.03</t>
        </is>
      </c>
      <c r="D76" t="inlineStr"/>
      <c r="E76" t="inlineStr">
        <is>
          <t>not_found</t>
        </is>
      </c>
      <c r="F76" t="inlineStr"/>
      <c r="G76" t="inlineStr">
        <is>
          <t>p27(REL_AnnualReport2017-18.pdf), p89(REL_AnnualReport2017-18.pdf), p77(REL_AnnualReport2017-18.pdf), p79(REL_AnnualReport2017-18.pdf), p91(REL_AnnualReport2017-18.pdf)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Srivastava, Ishan</dc:creator>
  <dcterms:created xsi:type="dcterms:W3CDTF">2026-06-25T10:48:03Z</dcterms:created>
  <dcterms:modified xsi:type="dcterms:W3CDTF">2026-06-30T08:05:26Z</dcterms:modified>
  <cp:lastModifiedBy>Srivastava, Akash</cp:lastModifiedBy>
</cp:coreProperties>
</file>