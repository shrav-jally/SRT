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Meta Data" sheetId="1" state="visible" r:id="rId1"/>
    <sheet name="Balance Sheet" sheetId="2" state="visible" r:id="rId2"/>
    <sheet name="P&amp;L" sheetId="3" state="visible" r:id="rId3"/>
    <sheet name="Cash Flow" sheetId="4" state="visible" r:id="rId4"/>
    <sheet name="Raw BS" sheetId="5" state="visible" r:id="rId5"/>
    <sheet name="Raw P&amp;L" sheetId="6" state="visible" r:id="rId6"/>
    <sheet name="Raw CF" sheetId="7" state="visible" r:id="rId7"/>
  </sheets>
  <definedNames>
    <definedName name="_xlnm._FilterDatabase" localSheetId="4" hidden="1">'Raw BS'!$A$1:$I$103</definedName>
    <definedName name="_xlnm._FilterDatabase" localSheetId="5" hidden="1">'Raw P&amp;L'!$A$1:$I$72</definedName>
    <definedName name="_xlnm._FilterDatabase" localSheetId="6" hidden="1">'Raw CF'!$A$1:$I$62</definedName>
  </definedNames>
  <calcPr calcId="191028" fullCalcOnLoad="1"/>
</workbook>
</file>

<file path=xl/styles.xml><?xml version="1.0" encoding="utf-8"?>
<styleSheet xmlns="http://schemas.openxmlformats.org/spreadsheetml/2006/main">
  <numFmts count="0"/>
  <fonts count="21">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2563EB"/>
      <sz val="9"/>
    </font>
  </fonts>
  <fills count="8">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59">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Rajesh_Exports_AR_2018-2019.pdf</t>
        </is>
      </c>
    </row>
    <row r="4">
      <c r="A4" s="53" t="inlineStr">
        <is>
          <t>Financial Year</t>
        </is>
      </c>
      <c r="B4" s="54" t="inlineStr">
        <is>
          <t>2019</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2026-06-29 14:33:45</t>
        </is>
      </c>
    </row>
    <row r="9">
      <c r="A9" s="51" t="inlineStr">
        <is>
          <t>Page Detection</t>
        </is>
      </c>
      <c r="B9" s="52" t="inlineStr"/>
    </row>
    <row r="10">
      <c r="A10" s="53" t="inlineStr">
        <is>
          <t>Balance Sheet Pages</t>
        </is>
      </c>
      <c r="B10" s="54" t="inlineStr">
        <is>
          <t>49, 52, 56, 67, 107</t>
        </is>
      </c>
    </row>
    <row r="11">
      <c r="A11" s="53" t="inlineStr">
        <is>
          <t>P&amp;L Pages</t>
        </is>
      </c>
      <c r="B11" s="54" t="inlineStr">
        <is>
          <t>52, 57, 107</t>
        </is>
      </c>
    </row>
    <row r="12">
      <c r="A12" s="53" t="inlineStr">
        <is>
          <t>Cash Flow Pages</t>
        </is>
      </c>
      <c r="B12" s="54" t="inlineStr">
        <is>
          <t>52, 58</t>
        </is>
      </c>
    </row>
    <row r="14">
      <c r="A14" s="51" t="inlineStr">
        <is>
          <t>Extraction Statistics</t>
        </is>
      </c>
      <c r="B14" s="52" t="inlineStr"/>
    </row>
    <row r="15">
      <c r="A15" s="53" t="inlineStr">
        <is>
          <t>Balance Sheet — Rows Extracted</t>
        </is>
      </c>
      <c r="B15" s="54" t="inlineStr">
        <is>
          <t>102</t>
        </is>
      </c>
    </row>
    <row r="16">
      <c r="A16" s="53" t="inlineStr">
        <is>
          <t>Balance Sheet — Items Mapped</t>
        </is>
      </c>
      <c r="B16" s="54" t="inlineStr">
        <is>
          <t>34</t>
        </is>
      </c>
    </row>
    <row r="17">
      <c r="A17" s="53" t="inlineStr">
        <is>
          <t>Balance Sheet — Values Written</t>
        </is>
      </c>
      <c r="B17" s="54" t="inlineStr">
        <is>
          <t>34</t>
        </is>
      </c>
    </row>
    <row r="18">
      <c r="A18" s="53" t="inlineStr">
        <is>
          <t>P&amp;L — Rows Extracted</t>
        </is>
      </c>
      <c r="B18" s="54" t="inlineStr">
        <is>
          <t>71</t>
        </is>
      </c>
    </row>
    <row r="19">
      <c r="A19" s="53" t="inlineStr">
        <is>
          <t>P&amp;L — Items Mapped</t>
        </is>
      </c>
      <c r="B19" s="54" t="inlineStr">
        <is>
          <t>9</t>
        </is>
      </c>
    </row>
    <row r="20">
      <c r="A20" s="53" t="inlineStr">
        <is>
          <t>P&amp;L — Values Written</t>
        </is>
      </c>
      <c r="B20" s="54" t="inlineStr">
        <is>
          <t>9</t>
        </is>
      </c>
    </row>
    <row r="21">
      <c r="A21" s="53" t="inlineStr">
        <is>
          <t>Cash Flow — Rows Extracted</t>
        </is>
      </c>
      <c r="B21" s="54" t="inlineStr">
        <is>
          <t>61</t>
        </is>
      </c>
    </row>
    <row r="22">
      <c r="A22" s="53" t="inlineStr">
        <is>
          <t>Cash Flow — Items Mapped</t>
        </is>
      </c>
      <c r="B22" s="54" t="inlineStr">
        <is>
          <t>5</t>
        </is>
      </c>
    </row>
    <row r="23">
      <c r="A23" s="53" t="inlineStr">
        <is>
          <t>Cash Flow — Values Written</t>
        </is>
      </c>
      <c r="B23" s="54" t="inlineStr">
        <is>
          <t>7</t>
        </is>
      </c>
    </row>
    <row r="25">
      <c r="A25" s="51" t="inlineStr">
        <is>
          <t>Completeness</t>
        </is>
      </c>
      <c r="B25" s="52" t="inlineStr"/>
    </row>
    <row r="26">
      <c r="A26" s="53" t="inlineStr">
        <is>
          <t>Balance Sheet Completeness</t>
        </is>
      </c>
      <c r="B26" s="54" t="inlineStr">
        <is>
          <t>85.0%</t>
        </is>
      </c>
    </row>
    <row r="27">
      <c r="A27" s="53" t="inlineStr">
        <is>
          <t>P&amp;L Completeness</t>
        </is>
      </c>
      <c r="B27" s="54" t="inlineStr">
        <is>
          <t>60.0%</t>
        </is>
      </c>
    </row>
    <row r="28">
      <c r="A28" s="53" t="inlineStr">
        <is>
          <t>Cash Flow Completeness</t>
        </is>
      </c>
      <c r="B28" s="54" t="inlineStr">
        <is>
          <t>31.8%</t>
        </is>
      </c>
    </row>
    <row r="29">
      <c r="A29" s="53" t="inlineStr">
        <is>
          <t>Overall Completeness</t>
        </is>
      </c>
      <c r="B29" s="55" t="inlineStr">
        <is>
          <t>58.9%</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0</t>
        </is>
      </c>
    </row>
    <row r="35">
      <c r="A35" s="53" t="inlineStr">
        <is>
          <t>CA Inferred Mappings Applied</t>
        </is>
      </c>
      <c r="B35" s="54" t="inlineStr">
        <is>
          <t>0</t>
        </is>
      </c>
    </row>
    <row r="36">
      <c r="A36" s="53" t="inlineStr">
        <is>
          <t>Items with Note References</t>
        </is>
      </c>
      <c r="B36" s="54" t="inlineStr">
        <is>
          <t>26</t>
        </is>
      </c>
    </row>
    <row r="37">
      <c r="A37" s="53" t="inlineStr">
        <is>
          <t>Total CA Flags</t>
        </is>
      </c>
      <c r="B37" s="54" t="inlineStr">
        <is>
          <t>2</t>
        </is>
      </c>
    </row>
    <row r="39">
      <c r="A39" s="57" t="inlineStr">
        <is>
          <t>Validation Flags Detail:</t>
        </is>
      </c>
    </row>
    <row r="40">
      <c r="A40" s="58" t="inlineStr">
        <is>
          <t>[INFO] [note_reference] '(e) Other Intangible assets' was mapped but has no note reference in the PDF label. Expected: Intangible assets schedule (Ind AS 38). The note reference may have been lost during text extraction, or the PDF doesn't follow standard Schedule III format. (item: (e) Other Intangible assets)</t>
        </is>
      </c>
    </row>
    <row r="41">
      <c r="A41" s="58" t="inlineStr">
        <is>
          <t>[INFO] [note_reference] Found 26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(v) Loans → Note 8; (i) Borrowings → Note 15; (c) Provisions → Note 19; (b) Provisions → Note 14; I. Revenue from operations → Note 20; II. Other income → Note 21; Cost of materials consumed → Note 22; Employee benefits expense → Note 23; Finance costs → Note 25; Depreciation and amortisation expense → Note 2; Other expenses → Note 24</t>
        </is>
      </c>
    </row>
  </sheetData>
  <mergeCells count="3">
    <mergeCell ref="A41:B41"/>
    <mergeCell ref="A1:B1"/>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28" t="n">
        <v>0.34</v>
      </c>
    </row>
    <row r="4">
      <c r="A4" s="29" t="n"/>
      <c r="B4" s="2" t="inlineStr">
        <is>
          <t>(b) Capital work-in-progress</t>
        </is>
      </c>
      <c r="C4" s="28"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28" t="n">
        <v>191872.52</v>
      </c>
    </row>
    <row r="14">
      <c r="A14" s="29" t="n"/>
      <c r="B14" s="2" t="inlineStr">
        <is>
          <t>(iv) Others (to be specified)</t>
        </is>
      </c>
      <c r="C14" s="28" t="n">
        <v>56294.08</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28" t="n">
        <v>62498.32</v>
      </c>
      <c r="D20" t="inlineStr">
        <is>
          <t> </t>
        </is>
      </c>
    </row>
    <row r="21">
      <c r="A21" s="29" t="n"/>
      <c r="B21" s="2" t="inlineStr">
        <is>
          <t>(b) Financial Assets</t>
        </is>
      </c>
      <c r="C21">
        <f>SUM(C22:C27)</f>
        <v/>
      </c>
    </row>
    <row r="22">
      <c r="A22" s="29" t="n"/>
      <c r="B22" s="2" t="inlineStr">
        <is>
          <t>(i) Investments</t>
        </is>
      </c>
      <c r="C22" s="28" t="n">
        <v>73333.17999999999</v>
      </c>
    </row>
    <row r="23">
      <c r="A23" s="29" t="n"/>
      <c r="B23" s="2" t="inlineStr">
        <is>
          <t>(ii) Trade receivables</t>
        </is>
      </c>
      <c r="C23" s="28" t="n">
        <v>235311.57</v>
      </c>
    </row>
    <row r="24">
      <c r="A24" s="29" t="n"/>
      <c r="B24" s="2" t="inlineStr">
        <is>
          <t>(iii) Cash and cash equivalents</t>
        </is>
      </c>
      <c r="C24" s="28" t="n">
        <v>45.05</v>
      </c>
    </row>
    <row r="25">
      <c r="A25" s="29" t="n"/>
      <c r="B25" s="2" t="inlineStr">
        <is>
          <t>(iv) Bank balances other than (iii) above</t>
        </is>
      </c>
      <c r="C25" s="28" t="n">
        <v>1446989.48</v>
      </c>
    </row>
    <row r="26">
      <c r="A26" s="29" t="n"/>
      <c r="B26" s="2" t="inlineStr">
        <is>
          <t>(v) Loans</t>
        </is>
      </c>
      <c r="C26" s="28" t="n">
        <v>44212.13</v>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28" t="n">
        <v>2952.6</v>
      </c>
    </row>
    <row r="35">
      <c r="A35" s="32" t="n"/>
      <c r="B35" s="21" t="inlineStr">
        <is>
          <t>Other Equity</t>
        </is>
      </c>
      <c r="C35" s="28" t="n">
        <v>1334375.83</v>
      </c>
    </row>
    <row r="36">
      <c r="A36" s="32" t="n"/>
      <c r="B36" s="22" t="inlineStr">
        <is>
          <t>Total Equity</t>
        </is>
      </c>
      <c r="C36">
        <f>C34+C35</f>
        <v/>
      </c>
    </row>
    <row r="37">
      <c r="A37" s="32" t="n"/>
      <c r="B37" s="23" t="inlineStr">
        <is>
          <t>Profit for the year</t>
        </is>
      </c>
      <c r="C37" s="28" t="n">
        <v>129207.22</v>
      </c>
    </row>
    <row r="38">
      <c r="A38" s="32" t="n"/>
      <c r="B38" s="23" t="inlineStr">
        <is>
          <t>Change in FCTR</t>
        </is>
      </c>
    </row>
    <row r="39" ht="15" customHeight="1" thickBot="1">
      <c r="A39" s="33" t="n"/>
      <c r="B39" s="23" t="inlineStr">
        <is>
          <t>NCI share of loss</t>
        </is>
      </c>
    </row>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28" t="n">
        <v>15439.78</v>
      </c>
    </row>
    <row r="48">
      <c r="A48" s="29" t="n"/>
      <c r="B48" s="2" t="inlineStr">
        <is>
          <t>(b) Provisions</t>
        </is>
      </c>
      <c r="C48" s="28" t="n">
        <v>67.28</v>
      </c>
    </row>
    <row r="49">
      <c r="A49" s="29" t="n"/>
      <c r="B49" s="2" t="inlineStr">
        <is>
          <t>(c) Deferred tax liabilities (Net)</t>
        </is>
      </c>
      <c r="C49" s="28" t="n">
        <v>17567.83</v>
      </c>
    </row>
    <row r="50">
      <c r="A50" s="30" t="n"/>
      <c r="B50" s="2" t="inlineStr">
        <is>
          <t>(d) Other non-current liabilities</t>
        </is>
      </c>
    </row>
    <row r="51">
      <c r="B51" s="3" t="inlineStr">
        <is>
          <t>Total Non-current Liabilities</t>
        </is>
      </c>
      <c r="C51">
        <f>C42+C48+C49+C50</f>
        <v/>
      </c>
    </row>
    <row r="53">
      <c r="A53" s="14" t="inlineStr">
        <is>
          <t>Current liabilities</t>
        </is>
      </c>
      <c r="B53" s="2" t="inlineStr">
        <is>
          <t>(a) Financial Liabilities</t>
        </is>
      </c>
      <c r="C53">
        <f>C54+C55+C56</f>
        <v/>
      </c>
    </row>
    <row r="54">
      <c r="A54" s="29" t="n"/>
      <c r="B54" s="2" t="inlineStr">
        <is>
          <t>(i) Borrowings</t>
        </is>
      </c>
      <c r="C54" s="28" t="n">
        <v>607232.36</v>
      </c>
    </row>
    <row r="55">
      <c r="A55" s="29" t="n"/>
      <c r="B55" s="2" t="inlineStr">
        <is>
          <t>(ii) Trade payables</t>
        </is>
      </c>
      <c r="C55" s="28" t="n">
        <v>1047504.3</v>
      </c>
    </row>
    <row r="56">
      <c r="A56" s="29" t="n"/>
      <c r="B56" s="2" t="inlineStr">
        <is>
          <t>(iii) Other financial liabilities (other than those specified in item (c)</t>
        </is>
      </c>
    </row>
    <row r="57">
      <c r="A57" s="29" t="n"/>
      <c r="B57" s="2" t="inlineStr">
        <is>
          <t>(b) Other current liabilities</t>
        </is>
      </c>
      <c r="C57" s="28" t="n">
        <v>881.52</v>
      </c>
    </row>
    <row r="58">
      <c r="A58" s="29" t="n"/>
      <c r="B58" s="2" t="inlineStr">
        <is>
          <t>(c) Provisions</t>
        </is>
      </c>
      <c r="C58" s="28" t="n">
        <v>2396</v>
      </c>
    </row>
    <row r="59">
      <c r="A59" s="30" t="n"/>
      <c r="B59" s="2" t="inlineStr">
        <is>
          <t>(d) Current Tax Liabilities (Net)</t>
        </is>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C32"/>
  <sheetViews>
    <sheetView topLeftCell="A16" workbookViewId="0">
      <selection activeCell="A19" sqref="A19"/>
    </sheetView>
  </sheetViews>
  <sheetFormatPr baseColWidth="8" defaultRowHeight="14.5"/>
  <cols>
    <col width="43.26953125" customWidth="1" min="2" max="2"/>
    <col width="36.453125" bestFit="1" customWidth="1" min="4" max="4"/>
  </cols>
  <sheetData>
    <row r="2">
      <c r="A2" s="12" t="n"/>
      <c r="B2" s="12" t="n"/>
      <c r="C2" s="12" t="inlineStr">
        <is>
          <t>Values</t>
        </is>
      </c>
    </row>
    <row r="3">
      <c r="A3" s="13" t="inlineStr">
        <is>
          <t>Income</t>
        </is>
      </c>
      <c r="B3" s="5" t="inlineStr">
        <is>
          <t>I. Revenue from operations</t>
        </is>
      </c>
      <c r="C3" s="28" t="n">
        <v>4267088.64</v>
      </c>
    </row>
    <row r="4">
      <c r="A4" s="29" t="n"/>
      <c r="B4" s="6" t="inlineStr">
        <is>
          <t>II. Other income</t>
        </is>
      </c>
      <c r="C4" s="28" t="n">
        <v>5150.28</v>
      </c>
    </row>
    <row r="5">
      <c r="A5" s="30" t="n"/>
      <c r="B5" s="7" t="inlineStr">
        <is>
          <t>III. Total Income (I + II)</t>
        </is>
      </c>
      <c r="C5">
        <f>C3+C4</f>
        <v/>
      </c>
    </row>
    <row r="8">
      <c r="A8" s="13" t="inlineStr">
        <is>
          <t>Taxes</t>
        </is>
      </c>
      <c r="B8" s="2" t="inlineStr">
        <is>
          <t>(1) Current tax</t>
        </is>
      </c>
      <c r="C8" s="28" t="n">
        <v>2396</v>
      </c>
    </row>
    <row r="9">
      <c r="A9" s="29" t="n"/>
      <c r="B9" s="2" t="inlineStr">
        <is>
          <t>(2) Deferred tax</t>
        </is>
      </c>
      <c r="C9" s="28" t="n">
        <v>17109.08</v>
      </c>
    </row>
    <row r="10">
      <c r="A10" s="30" t="n"/>
      <c r="B10" s="3" t="inlineStr">
        <is>
          <t>VIII. Tax expense:</t>
        </is>
      </c>
      <c r="C10">
        <f>C8+C9</f>
        <v/>
      </c>
    </row>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9">
      <c r="B19" s="3" t="inlineStr">
        <is>
          <t>EBITDA</t>
        </is>
      </c>
      <c r="C19">
        <f>C32+C27+C26</f>
        <v/>
      </c>
    </row>
    <row r="20">
      <c r="B20" s="3" t="inlineStr">
        <is>
          <t>EBIT</t>
        </is>
      </c>
      <c r="C20">
        <f>C32+C26</f>
        <v/>
      </c>
    </row>
    <row r="22">
      <c r="A22" s="18" t="inlineStr">
        <is>
          <t>IV. Expenses:</t>
        </is>
      </c>
      <c r="B22" s="5" t="inlineStr">
        <is>
          <t>Cost of materials consumed</t>
        </is>
      </c>
      <c r="C22" s="28" t="n">
        <v>4189519.59</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28" t="n">
        <v>687.1900000000001</v>
      </c>
    </row>
    <row r="26">
      <c r="A26" s="29" t="n"/>
      <c r="B26" s="6" t="inlineStr">
        <is>
          <t>Finance costs</t>
        </is>
      </c>
      <c r="C26" s="28" t="n">
        <v>31983.54</v>
      </c>
    </row>
    <row r="27">
      <c r="A27" s="29" t="n"/>
      <c r="B27" s="6" t="inlineStr">
        <is>
          <t>Depreciation and amortisation expense</t>
        </is>
      </c>
      <c r="C27" s="28" t="n">
        <v>140.94</v>
      </c>
    </row>
    <row r="28">
      <c r="A28" s="29" t="n"/>
      <c r="B28" s="6" t="inlineStr">
        <is>
          <t>Other expenses</t>
        </is>
      </c>
      <c r="C28" s="28" t="n">
        <v>3350.16</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C25"/>
  <sheetViews>
    <sheetView tabSelected="1" topLeftCell="A12" workbookViewId="0">
      <selection activeCell="F9" sqref="F9"/>
    </sheetView>
  </sheetViews>
  <sheetFormatPr baseColWidth="8" defaultRowHeight="14.5"/>
  <cols>
    <col width="47.54296875" bestFit="1" customWidth="1" min="2" max="2"/>
  </cols>
  <sheetData>
    <row r="2">
      <c r="C2" s="27" t="inlineStr">
        <is>
          <t>Values</t>
        </is>
      </c>
    </row>
    <row r="3">
      <c r="A3" s="19" t="inlineStr">
        <is>
          <t xml:space="preserve">Cash Flow </t>
        </is>
      </c>
      <c r="B3" s="11" t="inlineStr">
        <is>
          <t>Cash Flows From Operations</t>
        </is>
      </c>
      <c r="C3" s="28" t="n">
        <v>372821.4</v>
      </c>
    </row>
    <row r="4">
      <c r="A4" s="29" t="n"/>
      <c r="B4" s="11" t="inlineStr">
        <is>
          <t>Cash Flows From Investing</t>
        </is>
      </c>
      <c r="C4" s="28" t="n">
        <v>-1227.75</v>
      </c>
    </row>
    <row r="5">
      <c r="A5" s="30" t="n"/>
      <c r="B5" s="11" t="inlineStr">
        <is>
          <t>Cash Flows From Financing</t>
        </is>
      </c>
      <c r="C5" s="28" t="n">
        <v>-287158.38</v>
      </c>
    </row>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235311.57</v>
      </c>
    </row>
    <row r="12">
      <c r="A12" s="29" t="n"/>
      <c r="B12" s="11" t="inlineStr">
        <is>
          <t>Advance from Customers</t>
        </is>
      </c>
    </row>
    <row r="13">
      <c r="A13" s="29" t="n"/>
      <c r="B13" s="11" t="inlineStr">
        <is>
          <t>Power and fuel/electricity Expenses</t>
        </is>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row>
    <row r="23">
      <c r="A23" s="29" t="n"/>
      <c r="B23" s="11" t="inlineStr">
        <is>
          <t>RP Bad debts</t>
        </is>
      </c>
    </row>
    <row r="24">
      <c r="A24" s="29" t="n"/>
      <c r="B24" s="11" t="inlineStr">
        <is>
          <t>RP Loan (Liab)</t>
        </is>
      </c>
    </row>
    <row r="25">
      <c r="A25" s="30" t="n"/>
      <c r="B25" s="11" t="inlineStr">
        <is>
          <t>Current maturities of borrowings/debts, including interest</t>
        </is>
      </c>
      <c r="C25" s="28" t="n">
        <v>-203.76</v>
      </c>
    </row>
  </sheetData>
  <mergeCells count="2">
    <mergeCell ref="A7:A25"/>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0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2019</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2019,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2019,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2019,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Key audit matters</t>
        </is>
      </c>
      <c r="C7" s="35" t="inlineStr"/>
      <c r="D7" s="37" t="inlineStr"/>
      <c r="E7" s="37" t="inlineStr"/>
      <c r="F7" s="35" t="n">
        <v>0</v>
      </c>
      <c r="G7" s="35" t="inlineStr"/>
      <c r="H7" s="35" t="inlineStr"/>
      <c r="I7" s="38" t="inlineStr">
        <is>
          <t>Key audit matters</t>
        </is>
      </c>
    </row>
    <row r="8">
      <c r="A8" s="35" t="n">
        <v>7</v>
      </c>
      <c r="B8"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8" s="35" t="inlineStr"/>
      <c r="D8" s="37" t="inlineStr"/>
      <c r="E8" s="37" t="inlineStr"/>
      <c r="F8" s="35" t="n">
        <v>0</v>
      </c>
      <c r="G8" s="35" t="inlineStr"/>
      <c r="H8" s="35" t="inlineStr"/>
      <c r="I8" s="38" t="inlineStr">
        <is>
          <t>Key audit matters are those matters that, in our professional judgment, were of most significance in our audit of the | standalone financial statements of the current period. These matters were addressed in the context of our audit of the</t>
        </is>
      </c>
    </row>
    <row r="9">
      <c r="A9" s="35" t="n">
        <v>8</v>
      </c>
      <c r="B9" s="36" t="inlineStr">
        <is>
          <t>We have determined the matters described below to be the key audit matters to be communicated in our report. Sr.No. Key Audit Matter</t>
        </is>
      </c>
      <c r="C9" s="35" t="inlineStr"/>
      <c r="D9" s="37" t="inlineStr"/>
      <c r="E9" s="37" t="inlineStr"/>
      <c r="F9" s="35" t="n">
        <v>0</v>
      </c>
      <c r="G9" s="35" t="inlineStr"/>
      <c r="H9" s="35" t="inlineStr"/>
      <c r="I9" s="38" t="inlineStr">
        <is>
          <t>We have determined the matters described below to be the key audit matters to be communicated in our report. | Sr.No. Key Audit Matter</t>
        </is>
      </c>
    </row>
    <row r="10">
      <c r="A10" s="35" t="n">
        <v>9</v>
      </c>
      <c r="B10"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0" s="35" t="inlineStr"/>
      <c r="D10" s="37" t="inlineStr"/>
      <c r="E10" s="37" t="inlineStr"/>
      <c r="F10" s="35" t="n">
        <v>0</v>
      </c>
      <c r="G10" s="35" t="inlineStr"/>
      <c r="H10" s="35" t="inlineStr"/>
      <c r="I10" s="38" t="inlineStr">
        <is>
          <t>1 In view of adoption of Ind AS 115 “Revenue from Contracts with Customers” (new revenue accounting standard) | effective April 1, 2018, the company has changed its revenue recognition policy with regards to timing of</t>
        </is>
      </c>
    </row>
    <row r="11">
      <c r="A11" s="35" t="n">
        <v>10</v>
      </c>
      <c r="B11"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t>
        </is>
      </c>
      <c r="C11" s="35" t="inlineStr"/>
      <c r="D11" s="37" t="inlineStr"/>
      <c r="E11" s="37" t="inlineStr"/>
      <c r="F11" s="35" t="n">
        <v>0</v>
      </c>
      <c r="G11" s="35" t="inlineStr"/>
      <c r="H11" s="35" t="inlineStr"/>
      <c r="I11" s="38" t="inlineStr">
        <is>
          <t>Revenue is also an important element of how the Company measures its performance. The Company focuses | on revenue as a key performance measure, which could create an incentive for revenue to be recognized</t>
        </is>
      </c>
    </row>
    <row r="12">
      <c r="A12" s="35" t="n">
        <v>11</v>
      </c>
      <c r="B12" s="36" t="inlineStr">
        <is>
          <t>Refer to Note 1(v) to the Standalone Financial Statements</t>
        </is>
      </c>
      <c r="C12" s="35" t="inlineStr"/>
      <c r="D12" s="37" t="inlineStr"/>
      <c r="E12" s="37" t="inlineStr"/>
      <c r="F12" s="35" t="n">
        <v>0</v>
      </c>
      <c r="G12" s="35" t="inlineStr"/>
      <c r="H12" s="35" t="inlineStr"/>
      <c r="I12" s="38" t="inlineStr">
        <is>
          <t>Refer to Note 1(v) to the Standalone Financial Statements</t>
        </is>
      </c>
    </row>
    <row r="13">
      <c r="A13" s="35" t="n">
        <v>12</v>
      </c>
      <c r="B13" s="36" t="inlineStr">
        <is>
          <t>Auditor’s Response</t>
        </is>
      </c>
      <c r="C13" s="35" t="inlineStr"/>
      <c r="D13" s="37" t="inlineStr"/>
      <c r="E13" s="37" t="inlineStr"/>
      <c r="F13" s="35" t="n">
        <v>0</v>
      </c>
      <c r="G13" s="35" t="inlineStr"/>
      <c r="H13" s="35" t="inlineStr"/>
      <c r="I13" s="38" t="inlineStr">
        <is>
          <t>Auditor’s Response</t>
        </is>
      </c>
    </row>
    <row r="14">
      <c r="A14" s="35" t="n">
        <v>13</v>
      </c>
      <c r="B14" s="36" t="inlineStr">
        <is>
          <t>Principal Audit Procedures</t>
        </is>
      </c>
      <c r="C14" s="35" t="inlineStr"/>
      <c r="D14" s="37" t="inlineStr"/>
      <c r="E14" s="37" t="inlineStr"/>
      <c r="F14" s="35" t="n">
        <v>0</v>
      </c>
      <c r="G14" s="35" t="inlineStr"/>
      <c r="H14" s="35" t="inlineStr"/>
      <c r="I14" s="38" t="inlineStr">
        <is>
          <t>Principal Audit Procedures</t>
        </is>
      </c>
    </row>
    <row r="15">
      <c r="A15" s="35" t="n">
        <v>14</v>
      </c>
      <c r="B15" s="36" t="inlineStr">
        <is>
          <t>We assessed the Company’s process to identify the impact of adoption of the new revenue accounting standard.</t>
        </is>
      </c>
      <c r="C15" s="35" t="inlineStr"/>
      <c r="D15" s="37" t="inlineStr"/>
      <c r="E15" s="37" t="inlineStr"/>
      <c r="F15" s="35" t="n">
        <v>0</v>
      </c>
      <c r="G15" s="35" t="inlineStr"/>
      <c r="H15" s="35" t="inlineStr"/>
      <c r="I15" s="38" t="inlineStr">
        <is>
          <t>We assessed the Company’s process to identify the impact of adoption of the new revenue accounting standard.</t>
        </is>
      </c>
    </row>
    <row r="16">
      <c r="A16" s="35" t="n">
        <v>15</v>
      </c>
      <c r="B16" s="36" t="inlineStr">
        <is>
          <t>Our audit approach consisted testing of the design and operating effectiveness of the internal controls and substantive testing as follows :</t>
        </is>
      </c>
      <c r="C16" s="35" t="inlineStr"/>
      <c r="D16" s="37" t="inlineStr"/>
      <c r="E16" s="37" t="inlineStr"/>
      <c r="F16" s="35" t="n">
        <v>0</v>
      </c>
      <c r="G16" s="35" t="inlineStr"/>
      <c r="H16" s="35" t="inlineStr"/>
      <c r="I16" s="38" t="inlineStr">
        <is>
          <t>Our audit approach consisted testing of the design and operating effectiveness of the internal controls and | substantive testing as follows :</t>
        </is>
      </c>
    </row>
    <row r="17">
      <c r="A17" s="35" t="n">
        <v>16</v>
      </c>
      <c r="B17" s="36" t="inlineStr">
        <is>
          <t>• Evaluated the design of internal controls relating to implementation of the new revenue accounting standard.</t>
        </is>
      </c>
      <c r="C17" s="35" t="inlineStr"/>
      <c r="D17" s="37" t="inlineStr"/>
      <c r="E17" s="37" t="inlineStr"/>
      <c r="F17" s="35" t="n">
        <v>0</v>
      </c>
      <c r="G17" s="35" t="inlineStr"/>
      <c r="H17" s="35" t="inlineStr"/>
      <c r="I17" s="38" t="inlineStr">
        <is>
          <t>• Evaluated the design of internal controls relating to implementation of the new revenue accounting | standard.</t>
        </is>
      </c>
    </row>
    <row r="18">
      <c r="A18" s="39" t="n">
        <v>17</v>
      </c>
      <c r="B18" s="40" t="inlineStr">
        <is>
          <t>RAJESH EXPORTS LIMITED c) The Balance Sheet, the Statement of Profit and Loss including Other Comprehensive Income, Statement of Changes in Equity and the Statement of Cash Flow dealt with by this Report are in agreement with the relevant books of account.</t>
        </is>
      </c>
      <c r="C18" s="39" t="inlineStr"/>
      <c r="D18" s="41" t="inlineStr"/>
      <c r="E18" s="41" t="inlineStr"/>
      <c r="F18" s="39" t="n">
        <v>0</v>
      </c>
      <c r="G18" s="39" t="inlineStr">
        <is>
          <t>Yes</t>
        </is>
      </c>
      <c r="H18" s="39" t="inlineStr"/>
      <c r="I18" s="42" t="inlineStr">
        <is>
          <t>RAJESH EXPORTS LIMITED | c) The Balance Sheet, the Statement of Profit and Loss including Other Comprehensive Income, Statement of Changes</t>
        </is>
      </c>
    </row>
    <row r="19">
      <c r="A19" s="35" t="n">
        <v>18</v>
      </c>
      <c r="B19" s="36" t="inlineStr">
        <is>
          <t>d) In our opinion, the aforesaid standalone financial statements comply with the Ind AS specified under Section</t>
        </is>
      </c>
      <c r="C19" s="35" t="inlineStr"/>
      <c r="D19" s="37" t="inlineStr">
        <is>
          <t>133</t>
        </is>
      </c>
      <c r="E19" s="37" t="inlineStr"/>
      <c r="F19" s="35" t="n">
        <v>0</v>
      </c>
      <c r="G19" s="35" t="inlineStr"/>
      <c r="H19" s="35" t="inlineStr"/>
      <c r="I19" s="38" t="inlineStr">
        <is>
          <t>d) In our opinion, the aforesaid standalone financial statements comply with the Ind AS specified under Section 133</t>
        </is>
      </c>
    </row>
    <row r="20">
      <c r="A20" s="35" t="n">
        <v>19</v>
      </c>
      <c r="B20"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20" s="35" t="inlineStr"/>
      <c r="D20" s="37" t="inlineStr">
        <is>
          <t>2014.</t>
        </is>
      </c>
      <c r="E20" s="37" t="inlineStr"/>
      <c r="F20" s="35" t="n">
        <v>0</v>
      </c>
      <c r="G20" s="35" t="inlineStr"/>
      <c r="H20" s="35" t="inlineStr"/>
      <c r="I20" s="38" t="inlineStr">
        <is>
          <t>of the Act, read with Rule 7 of the Companies (Accounts) Rules, 2014. | e) On the basis of the written representations received from the directors as on March 31, 2019 taken on record</t>
        </is>
      </c>
    </row>
    <row r="21">
      <c r="A21" s="35" t="n">
        <v>20</v>
      </c>
      <c r="B21" s="36" t="inlineStr">
        <is>
          <t>In our opinion and to the best of our information and according to the explanations given to us, the remuneration paid by the Company to its directors during the year is in accordance with the provisions of section 197 of the</t>
        </is>
      </c>
      <c r="C21" s="35" t="inlineStr"/>
      <c r="D21" s="37" t="inlineStr"/>
      <c r="E21" s="37" t="inlineStr"/>
      <c r="F21" s="35" t="n">
        <v>0</v>
      </c>
      <c r="G21" s="35" t="inlineStr"/>
      <c r="H21" s="35" t="inlineStr"/>
      <c r="I21" s="38" t="inlineStr">
        <is>
          <t>In our opinion and to the best of our information and according to the explanations given to us, the remuneration | paid by the Company to its directors during the year is in accordance with the provisions of section 197 of the</t>
        </is>
      </c>
    </row>
    <row r="22">
      <c r="A22" s="35" t="n">
        <v>21</v>
      </c>
      <c r="B22" s="36" t="inlineStr">
        <is>
          <t>Act. h) With respect to the other matters to be included in the Auditor’s Report in accordance with Rule 11 of the</t>
        </is>
      </c>
      <c r="C22" s="35" t="inlineStr"/>
      <c r="D22" s="37" t="inlineStr"/>
      <c r="E22" s="37" t="inlineStr"/>
      <c r="F22" s="35" t="n">
        <v>0</v>
      </c>
      <c r="G22" s="35" t="inlineStr"/>
      <c r="H22" s="35" t="inlineStr"/>
      <c r="I22" s="38" t="inlineStr">
        <is>
          <t>Act. | h) With respect to the other matters to be included in the Auditor’s Report in accordance with Rule 11 of the</t>
        </is>
      </c>
    </row>
    <row r="23">
      <c r="A23" s="35" t="n">
        <v>22</v>
      </c>
      <c r="B23"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23" s="35" t="inlineStr"/>
      <c r="D23" s="37" t="inlineStr"/>
      <c r="E23" s="37" t="inlineStr"/>
      <c r="F23" s="35" t="n">
        <v>0</v>
      </c>
      <c r="G23" s="35" t="inlineStr"/>
      <c r="H23" s="35" t="inlineStr"/>
      <c r="I23" s="38" t="inlineStr">
        <is>
          <t>Companies (Audit and Auditors) Rules, 2014, as amended in our opinion and to the best of our information and | according to the explanations given to us :</t>
        </is>
      </c>
    </row>
    <row r="24">
      <c r="A24" s="35" t="n">
        <v>23</v>
      </c>
      <c r="B24" s="36" t="inlineStr">
        <is>
          <t>Sd/- Date : May 29, 2019 Proprietor</t>
        </is>
      </c>
      <c r="C24" s="35" t="inlineStr"/>
      <c r="D24" s="37" t="inlineStr"/>
      <c r="E24" s="37" t="inlineStr"/>
      <c r="F24" s="35" t="n">
        <v>0</v>
      </c>
      <c r="G24" s="35" t="inlineStr"/>
      <c r="H24" s="35" t="inlineStr"/>
      <c r="I24" s="38" t="inlineStr">
        <is>
          <t>Sd/- | Date : May 29, 2019 Proprietor</t>
        </is>
      </c>
    </row>
    <row r="25">
      <c r="A25" s="35" t="n">
        <v>24</v>
      </c>
      <c r="B25" s="36" t="inlineStr">
        <is>
          <t>M.No.</t>
        </is>
      </c>
      <c r="C25" s="35" t="inlineStr"/>
      <c r="D25" s="37" t="inlineStr">
        <is>
          <t>204588</t>
        </is>
      </c>
      <c r="E25" s="37" t="inlineStr"/>
      <c r="F25" s="35" t="n">
        <v>0</v>
      </c>
      <c r="G25" s="35" t="inlineStr"/>
      <c r="H25" s="35" t="inlineStr"/>
      <c r="I25" s="38" t="inlineStr">
        <is>
          <t>M.No. 204588</t>
        </is>
      </c>
    </row>
    <row r="26">
      <c r="A26" s="39" t="n">
        <v>25</v>
      </c>
      <c r="B26" s="40" t="inlineStr">
        <is>
          <t>RAJESH EXPORTS LIMITED</t>
        </is>
      </c>
      <c r="C26" s="39" t="inlineStr"/>
      <c r="D26" s="41" t="inlineStr"/>
      <c r="E26" s="41" t="inlineStr"/>
      <c r="F26" s="39" t="n">
        <v>0</v>
      </c>
      <c r="G26" s="39" t="inlineStr">
        <is>
          <t>Yes</t>
        </is>
      </c>
      <c r="H26" s="39" t="inlineStr"/>
      <c r="I26" s="42" t="inlineStr">
        <is>
          <t>RAJESH EXPORTS LIMITED</t>
        </is>
      </c>
    </row>
    <row r="27">
      <c r="A27" s="35" t="n">
        <v>26</v>
      </c>
      <c r="B27" s="36" t="inlineStr">
        <is>
          <t>STANDALONE BALANCE SHEET AS AT MARCH 31, (Rs. in lakhs)</t>
        </is>
      </c>
      <c r="C27" s="35" t="inlineStr">
        <is>
          <t>31</t>
        </is>
      </c>
      <c r="D27" s="37" t="inlineStr">
        <is>
          <t>2019</t>
        </is>
      </c>
      <c r="E27" s="37" t="inlineStr"/>
      <c r="F27" s="35" t="n">
        <v>0</v>
      </c>
      <c r="G27" s="35" t="inlineStr"/>
      <c r="H27" s="35" t="inlineStr"/>
      <c r="I27" s="38" t="inlineStr">
        <is>
          <t>STANDALONE BALANCE SHEET AS AT MARCH 31, 2019 | (Rs. in lakhs)</t>
        </is>
      </c>
    </row>
    <row r="28">
      <c r="A28" s="35" t="n">
        <v>27</v>
      </c>
      <c r="B28" s="36" t="inlineStr">
        <is>
          <t>Note No. As on 31.03.2019 As on 31.03.2018</t>
        </is>
      </c>
      <c r="C28" s="35" t="inlineStr"/>
      <c r="D28" s="37" t="inlineStr"/>
      <c r="E28" s="37" t="inlineStr"/>
      <c r="F28" s="35" t="n">
        <v>0</v>
      </c>
      <c r="G28" s="35" t="inlineStr"/>
      <c r="H28" s="35" t="inlineStr"/>
      <c r="I28" s="38" t="inlineStr">
        <is>
          <t>Note No. As on 31.03.2019 As on 31.03.2018</t>
        </is>
      </c>
    </row>
    <row r="29">
      <c r="A29" s="39" t="n">
        <v>28</v>
      </c>
      <c r="B29" s="40" t="inlineStr">
        <is>
          <t>ASSETS</t>
        </is>
      </c>
      <c r="C29" s="39" t="inlineStr"/>
      <c r="D29" s="41" t="inlineStr"/>
      <c r="E29" s="41" t="inlineStr"/>
      <c r="F29" s="39" t="n">
        <v>0</v>
      </c>
      <c r="G29" s="39" t="inlineStr">
        <is>
          <t>Yes</t>
        </is>
      </c>
      <c r="H29" s="39" t="inlineStr"/>
      <c r="I29" s="42" t="inlineStr">
        <is>
          <t>ASSETS</t>
        </is>
      </c>
    </row>
    <row r="30">
      <c r="A30" s="39" t="n">
        <v>29</v>
      </c>
      <c r="B30" s="40" t="inlineStr">
        <is>
          <t>Non-Current Assets</t>
        </is>
      </c>
      <c r="C30" s="39" t="inlineStr"/>
      <c r="D30" s="41" t="inlineStr"/>
      <c r="E30" s="41" t="inlineStr"/>
      <c r="F30" s="39" t="n">
        <v>0</v>
      </c>
      <c r="G30" s="39" t="inlineStr">
        <is>
          <t>Yes</t>
        </is>
      </c>
      <c r="H30" s="39" t="inlineStr"/>
      <c r="I30" s="42" t="inlineStr">
        <is>
          <t>Non-Current Assets</t>
        </is>
      </c>
    </row>
    <row r="31">
      <c r="A31" s="35" t="n">
        <v>30</v>
      </c>
      <c r="B31" s="36" t="inlineStr">
        <is>
          <t>(a) Property, plant &amp; equipment 2</t>
        </is>
      </c>
      <c r="C31" s="35" t="inlineStr">
        <is>
          <t>2</t>
        </is>
      </c>
      <c r="D31" s="37" t="inlineStr">
        <is>
          <t>6,422.92</t>
        </is>
      </c>
      <c r="E31" s="37" t="inlineStr">
        <is>
          <t>6,527.98</t>
        </is>
      </c>
      <c r="F31" s="35" t="n">
        <v>0</v>
      </c>
      <c r="G31" s="35" t="inlineStr"/>
      <c r="H31" s="35" t="inlineStr"/>
      <c r="I31" s="38" t="inlineStr">
        <is>
          <t>(a) Property, plant &amp; equipment 2 6,422.92 6,527.98</t>
        </is>
      </c>
    </row>
    <row r="32">
      <c r="A32" s="35" t="n">
        <v>31</v>
      </c>
      <c r="B32" s="36" t="inlineStr">
        <is>
          <t>(b) Capital Work-in-Progress 2</t>
        </is>
      </c>
      <c r="C32" s="35" t="inlineStr">
        <is>
          <t>2</t>
        </is>
      </c>
      <c r="D32" s="37" t="inlineStr">
        <is>
          <t>35.05</t>
        </is>
      </c>
      <c r="E32" s="37" t="inlineStr">
        <is>
          <t>186.40</t>
        </is>
      </c>
      <c r="F32" s="35" t="n">
        <v>0</v>
      </c>
      <c r="G32" s="35" t="inlineStr"/>
      <c r="H32" s="35" t="inlineStr"/>
      <c r="I32" s="38" t="inlineStr">
        <is>
          <t>(b) Capital Work-in-Progress 2 35.05 186.40</t>
        </is>
      </c>
    </row>
    <row r="33">
      <c r="A33" s="35" t="n">
        <v>32</v>
      </c>
      <c r="B33" s="36" t="inlineStr">
        <is>
          <t>(c) Intangible Assets 2 (d) Financial Assets</t>
        </is>
      </c>
      <c r="C33" s="35" t="inlineStr">
        <is>
          <t>2</t>
        </is>
      </c>
      <c r="D33" s="37" t="inlineStr">
        <is>
          <t>0.34</t>
        </is>
      </c>
      <c r="E33" s="37" t="inlineStr">
        <is>
          <t>0.34</t>
        </is>
      </c>
      <c r="F33" s="35" t="n">
        <v>0</v>
      </c>
      <c r="G33" s="35" t="inlineStr"/>
      <c r="H33" s="35" t="inlineStr"/>
      <c r="I33" s="38" t="inlineStr">
        <is>
          <t>(c) Intangible Assets 2 0.34 0.34 | (d) Financial Assets</t>
        </is>
      </c>
    </row>
    <row r="34">
      <c r="A34" s="35" t="n">
        <v>33</v>
      </c>
      <c r="B34" s="43" t="inlineStr">
        <is>
          <t xml:space="preserve">  (i) Investments 3</t>
        </is>
      </c>
      <c r="C34" s="35" t="inlineStr">
        <is>
          <t>3</t>
        </is>
      </c>
      <c r="D34" s="37" t="inlineStr">
        <is>
          <t>73,333.18</t>
        </is>
      </c>
      <c r="E34" s="37" t="inlineStr">
        <is>
          <t>71,953.48</t>
        </is>
      </c>
      <c r="F34" s="35" t="n">
        <v>1</v>
      </c>
      <c r="G34" s="35" t="inlineStr"/>
      <c r="H34" s="35" t="inlineStr"/>
      <c r="I34" s="38" t="inlineStr">
        <is>
          <t>(i) Investments 3 73,333.18 71,953.48</t>
        </is>
      </c>
    </row>
    <row r="35">
      <c r="A35" s="35" t="n">
        <v>34</v>
      </c>
      <c r="B35" s="43" t="inlineStr">
        <is>
          <t xml:space="preserve">  (ii) Loans 4</t>
        </is>
      </c>
      <c r="C35" s="35" t="inlineStr">
        <is>
          <t>4</t>
        </is>
      </c>
      <c r="D35" s="37" t="inlineStr">
        <is>
          <t>191,872.52</t>
        </is>
      </c>
      <c r="E35" s="37" t="inlineStr">
        <is>
          <t>191,872.03</t>
        </is>
      </c>
      <c r="F35" s="35" t="n">
        <v>1</v>
      </c>
      <c r="G35" s="35" t="inlineStr"/>
      <c r="H35" s="35" t="inlineStr"/>
      <c r="I35" s="38" t="inlineStr">
        <is>
          <t>(ii) Loans 4 191,872.52 191,872.03</t>
        </is>
      </c>
    </row>
    <row r="36">
      <c r="A36" s="39" t="n">
        <v>35</v>
      </c>
      <c r="B36" s="40" t="inlineStr">
        <is>
          <t>Current Assets</t>
        </is>
      </c>
      <c r="C36" s="39" t="inlineStr"/>
      <c r="D36" s="41" t="inlineStr"/>
      <c r="E36" s="41" t="inlineStr"/>
      <c r="F36" s="39" t="n">
        <v>0</v>
      </c>
      <c r="G36" s="39" t="inlineStr">
        <is>
          <t>Yes</t>
        </is>
      </c>
      <c r="H36" s="39" t="inlineStr"/>
      <c r="I36" s="42" t="inlineStr">
        <is>
          <t>Current Assets</t>
        </is>
      </c>
    </row>
    <row r="37">
      <c r="A37" s="35" t="n">
        <v>36</v>
      </c>
      <c r="B37" s="36" t="inlineStr">
        <is>
          <t>(a) Inventories 5 (b) Financial Assets</t>
        </is>
      </c>
      <c r="C37" s="35" t="inlineStr">
        <is>
          <t>5</t>
        </is>
      </c>
      <c r="D37" s="37" t="inlineStr">
        <is>
          <t>62,498.32</t>
        </is>
      </c>
      <c r="E37" s="37" t="inlineStr">
        <is>
          <t>105,084.15</t>
        </is>
      </c>
      <c r="F37" s="35" t="n">
        <v>0</v>
      </c>
      <c r="G37" s="35" t="inlineStr"/>
      <c r="H37" s="35" t="inlineStr"/>
      <c r="I37" s="38" t="inlineStr">
        <is>
          <t>(a) Inventories 5 62,498.32 105,084.15 | (b) Financial Assets</t>
        </is>
      </c>
    </row>
    <row r="38">
      <c r="A38" s="35" t="n">
        <v>37</v>
      </c>
      <c r="B38" s="43" t="inlineStr">
        <is>
          <t xml:space="preserve">  (i) Trade Receivables 6</t>
        </is>
      </c>
      <c r="C38" s="35" t="inlineStr">
        <is>
          <t>6</t>
        </is>
      </c>
      <c r="D38" s="37" t="inlineStr">
        <is>
          <t>235,311.57</t>
        </is>
      </c>
      <c r="E38" s="37" t="inlineStr">
        <is>
          <t>159,690.91</t>
        </is>
      </c>
      <c r="F38" s="35" t="n">
        <v>1</v>
      </c>
      <c r="G38" s="35" t="inlineStr"/>
      <c r="H38" s="35" t="inlineStr"/>
      <c r="I38" s="38" t="inlineStr">
        <is>
          <t>(i) Trade Receivables 6 235,311.57 159,690.91</t>
        </is>
      </c>
    </row>
    <row r="39">
      <c r="A39" s="35" t="n">
        <v>38</v>
      </c>
      <c r="B39" s="43" t="inlineStr">
        <is>
          <t xml:space="preserve">  (ii) Cash and Cash Equivalents 7(a)</t>
        </is>
      </c>
      <c r="C39" s="35" t="inlineStr"/>
      <c r="D39" s="37" t="inlineStr">
        <is>
          <t>45.05</t>
        </is>
      </c>
      <c r="E39" s="37" t="inlineStr">
        <is>
          <t>376.41</t>
        </is>
      </c>
      <c r="F39" s="35" t="n">
        <v>1</v>
      </c>
      <c r="G39" s="35" t="inlineStr"/>
      <c r="H39" s="35" t="inlineStr"/>
      <c r="I39" s="38" t="inlineStr">
        <is>
          <t>(ii) Cash and Cash Equivalents 7(a) 45.05 376.41</t>
        </is>
      </c>
    </row>
    <row r="40">
      <c r="A40" s="35" t="n">
        <v>39</v>
      </c>
      <c r="B40" s="43" t="inlineStr">
        <is>
          <t xml:space="preserve">  (iii) Bank Fixed Deposits 7(b)</t>
        </is>
      </c>
      <c r="C40" s="35" t="inlineStr"/>
      <c r="D40" s="37" t="inlineStr">
        <is>
          <t>1,446,989.48</t>
        </is>
      </c>
      <c r="E40" s="37" t="inlineStr">
        <is>
          <t>1,362,222.85</t>
        </is>
      </c>
      <c r="F40" s="35" t="n">
        <v>1</v>
      </c>
      <c r="G40" s="35" t="inlineStr"/>
      <c r="H40" s="35" t="inlineStr"/>
      <c r="I40" s="38" t="inlineStr">
        <is>
          <t>(iii) Bank Fixed Deposits 7(b) 1,446,989.48 1,362,222.85</t>
        </is>
      </c>
    </row>
    <row r="41">
      <c r="A41" s="35" t="n">
        <v>40</v>
      </c>
      <c r="B41" s="43" t="inlineStr">
        <is>
          <t xml:space="preserve">  (iv) Loans 8</t>
        </is>
      </c>
      <c r="C41" s="35" t="inlineStr">
        <is>
          <t>8</t>
        </is>
      </c>
      <c r="D41" s="37" t="inlineStr">
        <is>
          <t>44,212.13</t>
        </is>
      </c>
      <c r="E41" s="37" t="inlineStr">
        <is>
          <t>43,177.44</t>
        </is>
      </c>
      <c r="F41" s="35" t="n">
        <v>1</v>
      </c>
      <c r="G41" s="35" t="inlineStr"/>
      <c r="H41" s="35" t="inlineStr"/>
      <c r="I41" s="38" t="inlineStr">
        <is>
          <t>(iv) Loans 8 44,212.13 43,177.44</t>
        </is>
      </c>
    </row>
    <row r="42">
      <c r="A42" s="35" t="n">
        <v>41</v>
      </c>
      <c r="B42" s="43" t="inlineStr">
        <is>
          <t xml:space="preserve">  (v) Other Financial Assets 9</t>
        </is>
      </c>
      <c r="C42" s="35" t="inlineStr">
        <is>
          <t>9</t>
        </is>
      </c>
      <c r="D42" s="37" t="inlineStr">
        <is>
          <t>56,294.08</t>
        </is>
      </c>
      <c r="E42" s="37" t="inlineStr">
        <is>
          <t>51,846.28</t>
        </is>
      </c>
      <c r="F42" s="35" t="n">
        <v>1</v>
      </c>
      <c r="G42" s="35" t="inlineStr"/>
      <c r="H42" s="35" t="inlineStr"/>
      <c r="I42" s="38" t="inlineStr">
        <is>
          <t>(v) Other Financial Assets 9 56,294.08 51,846.28</t>
        </is>
      </c>
    </row>
    <row r="43">
      <c r="A43" s="44" t="n">
        <v>42</v>
      </c>
      <c r="B43" s="45" t="inlineStr">
        <is>
          <t>TOTAL</t>
        </is>
      </c>
      <c r="C43" s="44" t="inlineStr"/>
      <c r="D43" s="46" t="inlineStr">
        <is>
          <t>2,117,014.64</t>
        </is>
      </c>
      <c r="E43" s="46" t="inlineStr">
        <is>
          <t>1,992,938.26</t>
        </is>
      </c>
      <c r="F43" s="44" t="n">
        <v>0</v>
      </c>
      <c r="G43" s="44" t="inlineStr"/>
      <c r="H43" s="44" t="inlineStr">
        <is>
          <t>Yes</t>
        </is>
      </c>
      <c r="I43" s="47" t="inlineStr">
        <is>
          <t>TOTAL 2,117,014.64 1,992,938.26</t>
        </is>
      </c>
    </row>
    <row r="44">
      <c r="A44" s="39" t="n">
        <v>43</v>
      </c>
      <c r="B44" s="40" t="inlineStr">
        <is>
          <t>EQUITY AND LIABILITIES</t>
        </is>
      </c>
      <c r="C44" s="39" t="inlineStr"/>
      <c r="D44" s="41" t="inlineStr"/>
      <c r="E44" s="41" t="inlineStr"/>
      <c r="F44" s="39" t="n">
        <v>0</v>
      </c>
      <c r="G44" s="39" t="inlineStr">
        <is>
          <t>Yes</t>
        </is>
      </c>
      <c r="H44" s="39" t="inlineStr"/>
      <c r="I44" s="42" t="inlineStr">
        <is>
          <t>EQUITY AND LIABILITIES</t>
        </is>
      </c>
    </row>
    <row r="45">
      <c r="A45" s="39" t="n">
        <v>44</v>
      </c>
      <c r="B45" s="40" t="inlineStr">
        <is>
          <t>Equity</t>
        </is>
      </c>
      <c r="C45" s="39" t="inlineStr"/>
      <c r="D45" s="41" t="inlineStr"/>
      <c r="E45" s="41" t="inlineStr"/>
      <c r="F45" s="39" t="n">
        <v>0</v>
      </c>
      <c r="G45" s="39" t="inlineStr">
        <is>
          <t>Yes</t>
        </is>
      </c>
      <c r="H45" s="39" t="inlineStr"/>
      <c r="I45" s="42" t="inlineStr">
        <is>
          <t>Equity</t>
        </is>
      </c>
    </row>
    <row r="46">
      <c r="A46" s="35" t="n">
        <v>45</v>
      </c>
      <c r="B46" s="36" t="inlineStr">
        <is>
          <t>(a) Equity Share Capital 10</t>
        </is>
      </c>
      <c r="C46" s="35" t="inlineStr">
        <is>
          <t>10</t>
        </is>
      </c>
      <c r="D46" s="37" t="inlineStr">
        <is>
          <t>2,952.60</t>
        </is>
      </c>
      <c r="E46" s="37" t="inlineStr">
        <is>
          <t>2,952.60</t>
        </is>
      </c>
      <c r="F46" s="35" t="n">
        <v>0</v>
      </c>
      <c r="G46" s="35" t="inlineStr"/>
      <c r="H46" s="35" t="inlineStr"/>
      <c r="I46" s="38" t="inlineStr">
        <is>
          <t>(a) Equity Share Capital 10 2,952.60 2,952.60</t>
        </is>
      </c>
    </row>
    <row r="47">
      <c r="A47" s="35" t="n">
        <v>46</v>
      </c>
      <c r="B47" s="36" t="inlineStr">
        <is>
          <t>(b) Other equity 11</t>
        </is>
      </c>
      <c r="C47" s="35" t="inlineStr">
        <is>
          <t>11</t>
        </is>
      </c>
      <c r="D47" s="37" t="inlineStr">
        <is>
          <t>453,323.86</t>
        </is>
      </c>
      <c r="E47" s="37" t="inlineStr">
        <is>
          <t>412,070.28</t>
        </is>
      </c>
      <c r="F47" s="35" t="n">
        <v>0</v>
      </c>
      <c r="G47" s="35" t="inlineStr"/>
      <c r="H47" s="35" t="inlineStr"/>
      <c r="I47" s="38" t="inlineStr">
        <is>
          <t>(b) Other equity 11 453,323.86 412,070.28</t>
        </is>
      </c>
    </row>
    <row r="48">
      <c r="A48" s="39" t="n">
        <v>47</v>
      </c>
      <c r="B48" s="40" t="inlineStr">
        <is>
          <t>LIABILITIES</t>
        </is>
      </c>
      <c r="C48" s="39" t="inlineStr"/>
      <c r="D48" s="41" t="inlineStr"/>
      <c r="E48" s="41" t="inlineStr"/>
      <c r="F48" s="39" t="n">
        <v>0</v>
      </c>
      <c r="G48" s="39" t="inlineStr">
        <is>
          <t>Yes</t>
        </is>
      </c>
      <c r="H48" s="39" t="inlineStr"/>
      <c r="I48" s="42" t="inlineStr">
        <is>
          <t>LIABILITIES</t>
        </is>
      </c>
    </row>
    <row r="49">
      <c r="A49" s="39" t="n">
        <v>48</v>
      </c>
      <c r="B49" s="40" t="inlineStr">
        <is>
          <t>Non-Current Liabilities (a) Financial Liabilities</t>
        </is>
      </c>
      <c r="C49" s="39" t="inlineStr"/>
      <c r="D49" s="41" t="inlineStr"/>
      <c r="E49" s="41" t="inlineStr"/>
      <c r="F49" s="39" t="n">
        <v>0</v>
      </c>
      <c r="G49" s="39" t="inlineStr">
        <is>
          <t>Yes</t>
        </is>
      </c>
      <c r="H49" s="39" t="inlineStr"/>
      <c r="I49" s="42" t="inlineStr">
        <is>
          <t>Non-Current Liabilities | (a) Financial Liabilities</t>
        </is>
      </c>
    </row>
    <row r="50">
      <c r="A50" s="35" t="n">
        <v>49</v>
      </c>
      <c r="B50" s="43" t="inlineStr">
        <is>
          <t xml:space="preserve">  (i) Other Financial Liabilities 12</t>
        </is>
      </c>
      <c r="C50" s="35" t="inlineStr">
        <is>
          <t>12</t>
        </is>
      </c>
      <c r="D50" s="37" t="inlineStr">
        <is>
          <t>641.75</t>
        </is>
      </c>
      <c r="E50" s="37" t="inlineStr">
        <is>
          <t>645.01</t>
        </is>
      </c>
      <c r="F50" s="35" t="n">
        <v>1</v>
      </c>
      <c r="G50" s="35" t="inlineStr"/>
      <c r="H50" s="35" t="inlineStr"/>
      <c r="I50" s="38" t="inlineStr">
        <is>
          <t>(i) Other Financial Liabilities 12 641.75 645.01</t>
        </is>
      </c>
    </row>
    <row r="51">
      <c r="A51" s="35" t="n">
        <v>50</v>
      </c>
      <c r="B51" s="36" t="inlineStr">
        <is>
          <t>(b) Deferred tax liabilities (net) 13</t>
        </is>
      </c>
      <c r="C51" s="35" t="inlineStr">
        <is>
          <t>13</t>
        </is>
      </c>
      <c r="D51" s="37" t="inlineStr">
        <is>
          <t>408.63</t>
        </is>
      </c>
      <c r="E51" s="37" t="inlineStr">
        <is>
          <t>461.67</t>
        </is>
      </c>
      <c r="F51" s="35" t="n">
        <v>0</v>
      </c>
      <c r="G51" s="35" t="inlineStr"/>
      <c r="H51" s="35" t="inlineStr"/>
      <c r="I51" s="38" t="inlineStr">
        <is>
          <t>(b) Deferred tax liabilities (net) 13 408.63 461.67</t>
        </is>
      </c>
    </row>
    <row r="52">
      <c r="A52" s="35" t="n">
        <v>51</v>
      </c>
      <c r="B52" s="36" t="inlineStr">
        <is>
          <t>(c) Provisions 14</t>
        </is>
      </c>
      <c r="C52" s="35" t="inlineStr">
        <is>
          <t>14</t>
        </is>
      </c>
      <c r="D52" s="37" t="inlineStr">
        <is>
          <t>67.28</t>
        </is>
      </c>
      <c r="E52" s="37" t="inlineStr">
        <is>
          <t>58.93</t>
        </is>
      </c>
      <c r="F52" s="35" t="n">
        <v>0</v>
      </c>
      <c r="G52" s="35" t="inlineStr"/>
      <c r="H52" s="35" t="inlineStr"/>
      <c r="I52" s="38" t="inlineStr">
        <is>
          <t>(c) Provisions 14 67.28 58.93</t>
        </is>
      </c>
    </row>
    <row r="53">
      <c r="A53" s="39" t="n">
        <v>52</v>
      </c>
      <c r="B53" s="40" t="inlineStr">
        <is>
          <t>Current Liabilities (a) Financial Liabilities</t>
        </is>
      </c>
      <c r="C53" s="39" t="inlineStr"/>
      <c r="D53" s="41" t="inlineStr"/>
      <c r="E53" s="41" t="inlineStr"/>
      <c r="F53" s="39" t="n">
        <v>0</v>
      </c>
      <c r="G53" s="39" t="inlineStr">
        <is>
          <t>Yes</t>
        </is>
      </c>
      <c r="H53" s="39" t="inlineStr"/>
      <c r="I53" s="42" t="inlineStr">
        <is>
          <t>Current Liabilities | (a) Financial Liabilities</t>
        </is>
      </c>
    </row>
    <row r="54">
      <c r="A54" s="35" t="n">
        <v>53</v>
      </c>
      <c r="B54" s="43" t="inlineStr">
        <is>
          <t xml:space="preserve">  (i) Borrowings 15</t>
        </is>
      </c>
      <c r="C54" s="35" t="inlineStr">
        <is>
          <t>15</t>
        </is>
      </c>
      <c r="D54" s="37" t="inlineStr">
        <is>
          <t>607,232.36</t>
        </is>
      </c>
      <c r="E54" s="37" t="inlineStr">
        <is>
          <t>859,454.60</t>
        </is>
      </c>
      <c r="F54" s="35" t="n">
        <v>1</v>
      </c>
      <c r="G54" s="35" t="inlineStr"/>
      <c r="H54" s="35" t="inlineStr"/>
      <c r="I54" s="38" t="inlineStr">
        <is>
          <t>(i) Borrowings 15 607,232.36 859,454.60</t>
        </is>
      </c>
    </row>
    <row r="55">
      <c r="A55" s="35" t="n">
        <v>54</v>
      </c>
      <c r="B55" s="43" t="inlineStr">
        <is>
          <t xml:space="preserve">  (ii) Trade Payables 16</t>
        </is>
      </c>
      <c r="C55" s="35" t="inlineStr">
        <is>
          <t>16</t>
        </is>
      </c>
      <c r="D55" s="37" t="inlineStr">
        <is>
          <t>1,047,504.30</t>
        </is>
      </c>
      <c r="E55" s="37" t="inlineStr">
        <is>
          <t>710,248.01</t>
        </is>
      </c>
      <c r="F55" s="35" t="n">
        <v>1</v>
      </c>
      <c r="G55" s="35" t="inlineStr"/>
      <c r="H55" s="35" t="inlineStr"/>
      <c r="I55" s="38" t="inlineStr">
        <is>
          <t>(ii) Trade Payables 16 1,047,504.30 710,248.01</t>
        </is>
      </c>
    </row>
    <row r="56">
      <c r="A56" s="35" t="n">
        <v>55</v>
      </c>
      <c r="B56" s="43" t="inlineStr">
        <is>
          <t xml:space="preserve">  (iii) Other financial Liabilities 17</t>
        </is>
      </c>
      <c r="C56" s="35" t="inlineStr">
        <is>
          <t>17</t>
        </is>
      </c>
      <c r="D56" s="37" t="inlineStr">
        <is>
          <t>1,606.34</t>
        </is>
      </c>
      <c r="E56" s="37" t="inlineStr">
        <is>
          <t>1,435.66</t>
        </is>
      </c>
      <c r="F56" s="35" t="n">
        <v>1</v>
      </c>
      <c r="G56" s="35" t="inlineStr"/>
      <c r="H56" s="35" t="inlineStr"/>
      <c r="I56" s="38" t="inlineStr">
        <is>
          <t>(iii) Other financial Liabilities 17 1,606.34 1,435.66</t>
        </is>
      </c>
    </row>
    <row r="57">
      <c r="A57" s="35" t="n">
        <v>56</v>
      </c>
      <c r="B57" s="36" t="inlineStr">
        <is>
          <t>(b) Other Current Liabilities 18</t>
        </is>
      </c>
      <c r="C57" s="35" t="inlineStr">
        <is>
          <t>18</t>
        </is>
      </c>
      <c r="D57" s="37" t="inlineStr">
        <is>
          <t>881.52</t>
        </is>
      </c>
      <c r="E57" s="37" t="inlineStr">
        <is>
          <t>888.77</t>
        </is>
      </c>
      <c r="F57" s="35" t="n">
        <v>0</v>
      </c>
      <c r="G57" s="35" t="inlineStr"/>
      <c r="H57" s="35" t="inlineStr"/>
      <c r="I57" s="38" t="inlineStr">
        <is>
          <t>(b) Other Current Liabilities 18 881.52 888.77</t>
        </is>
      </c>
    </row>
    <row r="58">
      <c r="A58" s="35" t="n">
        <v>57</v>
      </c>
      <c r="B58" s="36" t="inlineStr">
        <is>
          <t>(c) Provisions 19</t>
        </is>
      </c>
      <c r="C58" s="35" t="inlineStr">
        <is>
          <t>19</t>
        </is>
      </c>
      <c r="D58" s="37" t="inlineStr">
        <is>
          <t>2,396.00</t>
        </is>
      </c>
      <c r="E58" s="37" t="inlineStr">
        <is>
          <t>4,722.75</t>
        </is>
      </c>
      <c r="F58" s="35" t="n">
        <v>0</v>
      </c>
      <c r="G58" s="35" t="inlineStr"/>
      <c r="H58" s="35" t="inlineStr"/>
      <c r="I58" s="38" t="inlineStr">
        <is>
          <t>(c) Provisions 19 2,396.00 4,722.75</t>
        </is>
      </c>
    </row>
    <row r="59">
      <c r="A59" s="35" t="n">
        <v>58</v>
      </c>
      <c r="B59" s="36" t="inlineStr">
        <is>
          <t>Accounting policies and other notes 1 &amp; For P V RAMANA REDDY &amp; CO</t>
        </is>
      </c>
      <c r="C59" s="35" t="inlineStr"/>
      <c r="D59" s="37" t="inlineStr">
        <is>
          <t>26</t>
        </is>
      </c>
      <c r="E59" s="37" t="inlineStr"/>
      <c r="F59" s="35" t="n">
        <v>0</v>
      </c>
      <c r="G59" s="35" t="inlineStr"/>
      <c r="H59" s="35" t="inlineStr"/>
      <c r="I59" s="38" t="inlineStr">
        <is>
          <t>Accounting policies and other notes 1 &amp; 26 | For P V RAMANA REDDY &amp; CO</t>
        </is>
      </c>
    </row>
    <row r="60">
      <c r="A60" s="35" t="n">
        <v>59</v>
      </c>
      <c r="B60" s="36" t="inlineStr">
        <is>
          <t>DIN : 00336457 DIN : 00336417 M.No. A50340</t>
        </is>
      </c>
      <c r="C60" s="35" t="inlineStr"/>
      <c r="D60" s="37" t="inlineStr"/>
      <c r="E60" s="37" t="inlineStr"/>
      <c r="F60" s="35" t="n">
        <v>0</v>
      </c>
      <c r="G60" s="35" t="inlineStr"/>
      <c r="H60" s="35" t="inlineStr"/>
      <c r="I60" s="38" t="inlineStr">
        <is>
          <t>DIN : 00336457 DIN : 00336417 M.No. A50340</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3">
      <c r="A63" s="35" t="n">
        <v>62</v>
      </c>
      <c r="B63" s="36" t="inlineStr">
        <is>
          <t>Note</t>
        </is>
      </c>
      <c r="C63" s="35" t="inlineStr"/>
      <c r="D63" s="37" t="inlineStr"/>
      <c r="E63" s="37" t="inlineStr"/>
      <c r="F63" s="35" t="n">
        <v>0</v>
      </c>
      <c r="G63" s="35" t="inlineStr"/>
      <c r="H63" s="35" t="inlineStr"/>
      <c r="I63" s="38" t="inlineStr">
        <is>
          <t>Note</t>
        </is>
      </c>
    </row>
    <row r="64">
      <c r="A64" s="35" t="n">
        <v>63</v>
      </c>
      <c r="B64" s="36" t="inlineStr">
        <is>
          <t>No.</t>
        </is>
      </c>
      <c r="C64" s="35" t="inlineStr"/>
      <c r="D64" s="37" t="inlineStr"/>
      <c r="E64" s="37" t="inlineStr"/>
      <c r="F64" s="35" t="n">
        <v>0</v>
      </c>
      <c r="G64" s="35" t="inlineStr"/>
      <c r="H64" s="35" t="inlineStr"/>
      <c r="I64" s="38" t="inlineStr">
        <is>
          <t>No.</t>
        </is>
      </c>
    </row>
    <row r="65">
      <c r="A65" s="35" t="n">
        <v>64</v>
      </c>
      <c r="B65"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5" s="35" t="inlineStr"/>
      <c r="D65" s="37" t="inlineStr"/>
      <c r="E65" s="37" t="inlineStr"/>
      <c r="F65" s="35" t="n">
        <v>0</v>
      </c>
      <c r="G65" s="35" t="inlineStr"/>
      <c r="H65" s="35" t="inlineStr"/>
      <c r="I65" s="38" t="inlineStr">
        <is>
          <t>1 Deferred Tax Assets include Minimum Alternative Tax (MAT) paid in accordance with the | tax laws in India, which is likely to give future economic benefits in the form of availability</t>
        </is>
      </c>
    </row>
    <row r="66">
      <c r="A66" s="35" t="n">
        <v>65</v>
      </c>
      <c r="B66" s="36" t="inlineStr">
        <is>
          <t>Provisions are recognized when the company has a present legal and constructive obligation arising from past events, outflow of future economic benefits should be probable and it should be measured in a reliable manner.</t>
        </is>
      </c>
      <c r="C66" s="35" t="inlineStr"/>
      <c r="D66" s="37" t="inlineStr"/>
      <c r="E66" s="37" t="inlineStr"/>
      <c r="F66" s="35" t="n">
        <v>0</v>
      </c>
      <c r="G66" s="35" t="inlineStr"/>
      <c r="H66" s="35" t="inlineStr"/>
      <c r="I66" s="38" t="inlineStr">
        <is>
          <t>Provisions are recognized when the company has a present legal and constructive obligation | arising from past events, outflow of future economic benefits should be probable and it</t>
        </is>
      </c>
    </row>
    <row r="67">
      <c r="A67" s="35" t="n">
        <v>66</v>
      </c>
      <c r="B67" s="36" t="inlineStr">
        <is>
          <t>Provisions for onerous contracts i.e., contract where the expected unavoidable cost of meeting the obligation under the contract exceed the economic benefits expected to received under it, are recognized when it is probable that an outflow of resources embodying economic benefits will be required to settle a present obligation as result of an obligating event based on a reliable estimate of such obligations</t>
        </is>
      </c>
      <c r="C67" s="35" t="inlineStr"/>
      <c r="D67" s="37" t="inlineStr"/>
      <c r="E67" s="37" t="inlineStr"/>
      <c r="F67" s="35" t="n">
        <v>0</v>
      </c>
      <c r="G67" s="35" t="inlineStr"/>
      <c r="H67" s="35" t="inlineStr"/>
      <c r="I67" s="38" t="inlineStr">
        <is>
          <t>Provisions for onerous contracts i.e., contract where the expected unavoidable cost of meeting | the obligation under the contract exceed the economic benefits expected to received under it,</t>
        </is>
      </c>
    </row>
    <row r="68">
      <c r="A68" s="35" t="n">
        <v>67</v>
      </c>
      <c r="B68" s="36" t="inlineStr">
        <is>
          <t>Provisions are measured at the present value of managements best estimates. Expenditure will be required to settle the present obligation at the end of the reporting period.</t>
        </is>
      </c>
      <c r="C68" s="35" t="inlineStr"/>
      <c r="D68" s="37" t="inlineStr"/>
      <c r="E68" s="37" t="inlineStr"/>
      <c r="F68" s="35" t="n">
        <v>0</v>
      </c>
      <c r="G68" s="35" t="inlineStr"/>
      <c r="H68" s="35" t="inlineStr"/>
      <c r="I68" s="38" t="inlineStr">
        <is>
          <t>Provisions are measured at the present value of managements best estimates. Expenditure | will be required to settle the present obligation at the end of the reporting period.</t>
        </is>
      </c>
    </row>
    <row r="69">
      <c r="A69" s="35" t="n">
        <v>68</v>
      </c>
      <c r="B69" s="36" t="inlineStr">
        <is>
          <t>Disclosures of contingent liability is a present obligation as a result of past obligation events on the basis of the evidence available, there is present obligation and an outflow of resources embodying economic benefits where settlement is probable. xii. Cash and cash equivalents</t>
        </is>
      </c>
      <c r="C69" s="35" t="inlineStr"/>
      <c r="D69" s="37" t="inlineStr"/>
      <c r="E69" s="37" t="inlineStr"/>
      <c r="F69" s="35" t="n">
        <v>0</v>
      </c>
      <c r="G69" s="35" t="inlineStr"/>
      <c r="H69" s="35" t="inlineStr"/>
      <c r="I69" s="38" t="inlineStr">
        <is>
          <t>Disclosures of contingent liability is a present obligation as a result of past obligation | events on the basis of the evidence available, there is present obligation and an outflow of</t>
        </is>
      </c>
    </row>
    <row r="70">
      <c r="A70" s="35" t="n">
        <v>69</v>
      </c>
      <c r="B70"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70" s="35" t="inlineStr"/>
      <c r="D70" s="37" t="inlineStr"/>
      <c r="E70" s="37" t="inlineStr"/>
      <c r="F70" s="35" t="n">
        <v>0</v>
      </c>
      <c r="G70" s="35" t="inlineStr"/>
      <c r="H70" s="35" t="inlineStr"/>
      <c r="I70" s="38" t="inlineStr">
        <is>
          <t>For the purpose of presentation in the statement of cash flows, cash and cash equivalents | includes cash on hand, deposits held at call with financial institutions, other short- term,</t>
        </is>
      </c>
    </row>
    <row r="71">
      <c r="A71" s="35" t="n">
        <v>70</v>
      </c>
      <c r="B71" s="36" t="inlineStr">
        <is>
          <t>Statement of cash flow is prepared in accordance with the indirect method prescribed in Ind AS-7 ‘Statement of cash flows. xiii. Earning Per Share :</t>
        </is>
      </c>
      <c r="C71" s="35" t="inlineStr"/>
      <c r="D71" s="37" t="inlineStr"/>
      <c r="E71" s="37" t="inlineStr"/>
      <c r="F71" s="35" t="n">
        <v>0</v>
      </c>
      <c r="G71" s="35" t="inlineStr"/>
      <c r="H71" s="35" t="inlineStr"/>
      <c r="I71" s="38" t="inlineStr">
        <is>
          <t>Statement of cash flow is prepared in accordance with the indirect method prescribed in | Ind AS-7 ‘Statement of cash flows.</t>
        </is>
      </c>
    </row>
    <row r="72">
      <c r="A72" s="35" t="n">
        <v>71</v>
      </c>
      <c r="B72"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2" s="35" t="inlineStr"/>
      <c r="D72" s="37" t="inlineStr"/>
      <c r="E72" s="37" t="inlineStr"/>
      <c r="F72" s="35" t="n">
        <v>0</v>
      </c>
      <c r="G72" s="35" t="inlineStr"/>
      <c r="H72" s="35" t="inlineStr"/>
      <c r="I72" s="38" t="inlineStr">
        <is>
          <t>Basic earnings per share is computed by dividing the profit / (loss) after tax (including the | post-tax effect of extraordinary items, if any) by the weighted average number of equity</t>
        </is>
      </c>
    </row>
    <row r="73">
      <c r="A73" s="35" t="n">
        <v>72</v>
      </c>
      <c r="B73"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t>
        </is>
      </c>
      <c r="C73" s="35" t="inlineStr"/>
      <c r="D73" s="37" t="inlineStr"/>
      <c r="E73" s="37" t="inlineStr"/>
      <c r="F73" s="35" t="n">
        <v>0</v>
      </c>
      <c r="G73" s="35" t="inlineStr"/>
      <c r="H73" s="35" t="inlineStr"/>
      <c r="I73" s="38" t="inlineStr">
        <is>
          <t>Potential equity shares are deemed to be dilutive only if their conversion to equity shares | would decrease the net profit per share from continuing ordinary operations. Potential</t>
        </is>
      </c>
    </row>
    <row r="74">
      <c r="A74" s="35" t="n">
        <v>73</v>
      </c>
      <c r="B74" s="36" t="inlineStr">
        <is>
          <t>Note Particulars As on 31.03.2019 As on 31.03.2018 No. Rs. in lakhs Rs. in lakhs</t>
        </is>
      </c>
      <c r="C74" s="35" t="inlineStr"/>
      <c r="D74" s="37" t="inlineStr"/>
      <c r="E74" s="37" t="inlineStr"/>
      <c r="F74" s="35" t="n">
        <v>0</v>
      </c>
      <c r="G74" s="35" t="inlineStr"/>
      <c r="H74" s="35" t="inlineStr"/>
      <c r="I74" s="38" t="inlineStr">
        <is>
          <t>Note Particulars As on 31.03.2019 As on 31.03.2018 | No. Rs. in lakhs Rs. in lakhs</t>
        </is>
      </c>
    </row>
    <row r="75">
      <c r="A75" s="39" t="n">
        <v>74</v>
      </c>
      <c r="B75" s="40" t="inlineStr">
        <is>
          <t>11 OTHER EQUITY</t>
        </is>
      </c>
      <c r="C75" s="39" t="inlineStr"/>
      <c r="D75" s="41" t="inlineStr"/>
      <c r="E75" s="41" t="inlineStr"/>
      <c r="F75" s="39" t="n">
        <v>0</v>
      </c>
      <c r="G75" s="39" t="inlineStr">
        <is>
          <t>Yes</t>
        </is>
      </c>
      <c r="H75" s="39" t="inlineStr"/>
      <c r="I75" s="42" t="inlineStr">
        <is>
          <t>11 OTHER EQUITY</t>
        </is>
      </c>
    </row>
    <row r="76">
      <c r="A76" s="35" t="n">
        <v>75</v>
      </c>
      <c r="B76" s="43" t="inlineStr">
        <is>
          <t xml:space="preserve">  (A) Securities Premium Reserve</t>
        </is>
      </c>
      <c r="C76" s="35" t="inlineStr"/>
      <c r="D76" s="37" t="inlineStr"/>
      <c r="E76" s="37" t="inlineStr"/>
      <c r="F76" s="35" t="n">
        <v>1</v>
      </c>
      <c r="G76" s="35" t="inlineStr"/>
      <c r="H76" s="35" t="inlineStr"/>
      <c r="I76" s="38" t="inlineStr">
        <is>
          <t>(A) Securities Premium Reserve</t>
        </is>
      </c>
    </row>
    <row r="77">
      <c r="A77" s="35" t="n">
        <v>76</v>
      </c>
      <c r="B77" s="43" t="inlineStr">
        <is>
          <t xml:space="preserve">  (i) As per last Balance Sheet</t>
        </is>
      </c>
      <c r="C77" s="35" t="inlineStr"/>
      <c r="D77" s="37" t="inlineStr">
        <is>
          <t>64,492.95</t>
        </is>
      </c>
      <c r="E77" s="37" t="inlineStr">
        <is>
          <t>64,492.95</t>
        </is>
      </c>
      <c r="F77" s="35" t="n">
        <v>1</v>
      </c>
      <c r="G77" s="35" t="inlineStr"/>
      <c r="H77" s="35" t="inlineStr"/>
      <c r="I77" s="38" t="inlineStr">
        <is>
          <t>(i) As per last Balance Sheet 64,492.95 64,492.95</t>
        </is>
      </c>
    </row>
    <row r="78">
      <c r="A78" s="35" t="n">
        <v>77</v>
      </c>
      <c r="B78" s="43" t="inlineStr">
        <is>
          <t xml:space="preserve">  (ii) Additions during the year</t>
        </is>
      </c>
      <c r="C78" s="35" t="inlineStr"/>
      <c r="D78" s="37" t="inlineStr">
        <is>
          <t>0.00</t>
        </is>
      </c>
      <c r="E78" s="37" t="inlineStr">
        <is>
          <t>0.00</t>
        </is>
      </c>
      <c r="F78" s="35" t="n">
        <v>1</v>
      </c>
      <c r="G78" s="35" t="inlineStr"/>
      <c r="H78" s="35" t="inlineStr"/>
      <c r="I78" s="38" t="inlineStr">
        <is>
          <t>(ii) Additions during the year 0.00 0.00</t>
        </is>
      </c>
    </row>
    <row r="79">
      <c r="A79" s="44" t="n">
        <v>78</v>
      </c>
      <c r="B79" s="45" t="inlineStr">
        <is>
          <t>Total Securities Premium Reserve</t>
        </is>
      </c>
      <c r="C79" s="44" t="inlineStr"/>
      <c r="D79" s="46" t="inlineStr">
        <is>
          <t>64,492.95</t>
        </is>
      </c>
      <c r="E79" s="46" t="inlineStr">
        <is>
          <t>64,492.95</t>
        </is>
      </c>
      <c r="F79" s="44" t="n">
        <v>0</v>
      </c>
      <c r="G79" s="44" t="inlineStr"/>
      <c r="H79" s="44" t="inlineStr">
        <is>
          <t>Yes</t>
        </is>
      </c>
      <c r="I79" s="47" t="inlineStr">
        <is>
          <t>Total Securities Premium Reserve 64,492.95 64,492.95</t>
        </is>
      </c>
    </row>
    <row r="80">
      <c r="A80" s="35" t="n">
        <v>79</v>
      </c>
      <c r="B80" s="43" t="inlineStr">
        <is>
          <t xml:space="preserve">  (B) General Reserve:</t>
        </is>
      </c>
      <c r="C80" s="35" t="inlineStr"/>
      <c r="D80" s="37" t="inlineStr"/>
      <c r="E80" s="37" t="inlineStr"/>
      <c r="F80" s="35" t="n">
        <v>1</v>
      </c>
      <c r="G80" s="35" t="inlineStr"/>
      <c r="H80" s="35" t="inlineStr"/>
      <c r="I80" s="38" t="inlineStr">
        <is>
          <t>(B) General Reserve:</t>
        </is>
      </c>
    </row>
    <row r="81">
      <c r="A81" s="35" t="n">
        <v>80</v>
      </c>
      <c r="B81" s="43" t="inlineStr">
        <is>
          <t xml:space="preserve">  (i) As per last Balance Sheet</t>
        </is>
      </c>
      <c r="C81" s="35" t="inlineStr"/>
      <c r="D81" s="37" t="inlineStr">
        <is>
          <t>143,500.00</t>
        </is>
      </c>
      <c r="E81" s="37" t="inlineStr">
        <is>
          <t>143,500.00</t>
        </is>
      </c>
      <c r="F81" s="35" t="n">
        <v>1</v>
      </c>
      <c r="G81" s="35" t="inlineStr"/>
      <c r="H81" s="35" t="inlineStr"/>
      <c r="I81" s="38" t="inlineStr">
        <is>
          <t>(i) As per last Balance Sheet 143,500.00 143,500.00</t>
        </is>
      </c>
    </row>
    <row r="82">
      <c r="A82" s="35" t="n">
        <v>81</v>
      </c>
      <c r="B82" s="36" t="inlineStr">
        <is>
          <t>Add: Transferred from Profit and loss Account</t>
        </is>
      </c>
      <c r="C82" s="35" t="inlineStr"/>
      <c r="D82" s="37" t="inlineStr">
        <is>
          <t>0.00</t>
        </is>
      </c>
      <c r="E82" s="37" t="inlineStr">
        <is>
          <t>0.00</t>
        </is>
      </c>
      <c r="F82" s="35" t="n">
        <v>0</v>
      </c>
      <c r="G82" s="35" t="inlineStr"/>
      <c r="H82" s="35" t="inlineStr"/>
      <c r="I82" s="38" t="inlineStr">
        <is>
          <t>Add: Transferred from Profit and loss Account 0.00 0.00</t>
        </is>
      </c>
    </row>
    <row r="83">
      <c r="A83" s="44" t="n">
        <v>82</v>
      </c>
      <c r="B83" s="45" t="inlineStr">
        <is>
          <t>Total General Reserve</t>
        </is>
      </c>
      <c r="C83" s="44" t="inlineStr"/>
      <c r="D83" s="46" t="inlineStr">
        <is>
          <t>143,500.00</t>
        </is>
      </c>
      <c r="E83" s="46" t="inlineStr">
        <is>
          <t>143,500.00</t>
        </is>
      </c>
      <c r="F83" s="44" t="n">
        <v>0</v>
      </c>
      <c r="G83" s="44" t="inlineStr"/>
      <c r="H83" s="44" t="inlineStr">
        <is>
          <t>Yes</t>
        </is>
      </c>
      <c r="I83" s="47" t="inlineStr">
        <is>
          <t>Total General Reserve 143,500.00 143,500.00</t>
        </is>
      </c>
    </row>
    <row r="84">
      <c r="A84" s="35" t="n">
        <v>83</v>
      </c>
      <c r="B84" s="43" t="inlineStr">
        <is>
          <t xml:space="preserve">  (C) Surplus in Statement of Profit and Loss</t>
        </is>
      </c>
      <c r="C84" s="35" t="inlineStr"/>
      <c r="D84" s="37" t="inlineStr"/>
      <c r="E84" s="37" t="inlineStr"/>
      <c r="F84" s="35" t="n">
        <v>1</v>
      </c>
      <c r="G84" s="35" t="inlineStr"/>
      <c r="H84" s="35" t="inlineStr"/>
      <c r="I84" s="38" t="inlineStr">
        <is>
          <t>(C) Surplus in Statement of Profit and Loss</t>
        </is>
      </c>
    </row>
    <row r="85">
      <c r="A85" s="35" t="n">
        <v>84</v>
      </c>
      <c r="B85" s="43" t="inlineStr">
        <is>
          <t xml:space="preserve">  (i) As per last Balance Sheet</t>
        </is>
      </c>
      <c r="C85" s="35" t="inlineStr"/>
      <c r="D85" s="37" t="inlineStr">
        <is>
          <t>475,908.68</t>
        </is>
      </c>
      <c r="E85" s="37" t="inlineStr">
        <is>
          <t>352,577.84</t>
        </is>
      </c>
      <c r="F85" s="35" t="n">
        <v>1</v>
      </c>
      <c r="G85" s="35" t="inlineStr"/>
      <c r="H85" s="35" t="inlineStr"/>
      <c r="I85" s="38" t="inlineStr">
        <is>
          <t>(i) As per last Balance Sheet 475,908.68 352,577.84</t>
        </is>
      </c>
    </row>
    <row r="86">
      <c r="A86" s="35" t="n">
        <v>85</v>
      </c>
      <c r="B86" s="43" t="inlineStr">
        <is>
          <t xml:space="preserve">  (ii) Add: Profit for the year</t>
        </is>
      </c>
      <c r="C86" s="35" t="inlineStr"/>
      <c r="D86" s="37" t="inlineStr">
        <is>
          <t>129,207.22</t>
        </is>
      </c>
      <c r="E86" s="37" t="inlineStr">
        <is>
          <t>126,578.71</t>
        </is>
      </c>
      <c r="F86" s="35" t="n">
        <v>1</v>
      </c>
      <c r="G86" s="35" t="inlineStr"/>
      <c r="H86" s="35" t="inlineStr"/>
      <c r="I86" s="38" t="inlineStr">
        <is>
          <t>(ii) Add: Profit for the year 129,207.22 126,578.71</t>
        </is>
      </c>
    </row>
    <row r="87">
      <c r="A87" s="35" t="n">
        <v>86</v>
      </c>
      <c r="B87" s="43" t="inlineStr">
        <is>
          <t xml:space="preserve">  (iii) Add: Profit from Associate</t>
        </is>
      </c>
      <c r="C87" s="35" t="inlineStr"/>
      <c r="D87" s="37" t="inlineStr">
        <is>
          <t>-</t>
        </is>
      </c>
      <c r="E87" s="37" t="inlineStr">
        <is>
          <t>-</t>
        </is>
      </c>
      <c r="F87" s="35" t="n">
        <v>1</v>
      </c>
      <c r="G87" s="35" t="inlineStr"/>
      <c r="H87" s="35" t="inlineStr"/>
      <c r="I87" s="38" t="inlineStr">
        <is>
          <t>(iii) Add: Profit from Associate - -</t>
        </is>
      </c>
    </row>
    <row r="88">
      <c r="A88" s="35" t="n">
        <v>87</v>
      </c>
      <c r="B88" s="36" t="inlineStr">
        <is>
          <t>Less: Appropriations</t>
        </is>
      </c>
      <c r="C88" s="35" t="inlineStr"/>
      <c r="D88" s="37" t="inlineStr"/>
      <c r="E88" s="37" t="inlineStr"/>
      <c r="F88" s="35" t="n">
        <v>0</v>
      </c>
      <c r="G88" s="35" t="inlineStr"/>
      <c r="H88" s="35" t="inlineStr"/>
      <c r="I88" s="38" t="inlineStr">
        <is>
          <t>Less: Appropriations</t>
        </is>
      </c>
    </row>
    <row r="89">
      <c r="A89" s="35" t="n">
        <v>88</v>
      </c>
      <c r="B89" s="36" t="inlineStr">
        <is>
          <t>a) Dividend Paid Available Surplus in Statement of</t>
        </is>
      </c>
      <c r="C89" s="35" t="inlineStr"/>
      <c r="D89" s="37" t="inlineStr">
        <is>
          <t>(2,952.60)</t>
        </is>
      </c>
      <c r="E89" s="37" t="inlineStr">
        <is>
          <t>(3,247.87)</t>
        </is>
      </c>
      <c r="F89" s="35" t="n">
        <v>0</v>
      </c>
      <c r="G89" s="35" t="inlineStr"/>
      <c r="H89" s="35" t="inlineStr"/>
      <c r="I89" s="38" t="inlineStr">
        <is>
          <t>a) Dividend Paid (2,952.60) (3,247.87) | Available Surplus in Statement of</t>
        </is>
      </c>
    </row>
    <row r="90">
      <c r="A90" s="35" t="n">
        <v>89</v>
      </c>
      <c r="B90" s="36" t="inlineStr">
        <is>
          <t>Profit and Loss</t>
        </is>
      </c>
      <c r="C90" s="35" t="inlineStr"/>
      <c r="D90" s="37" t="inlineStr">
        <is>
          <t>602,163.30</t>
        </is>
      </c>
      <c r="E90" s="37" t="inlineStr">
        <is>
          <t>475,908.68</t>
        </is>
      </c>
      <c r="F90" s="35" t="n">
        <v>0</v>
      </c>
      <c r="G90" s="35" t="inlineStr"/>
      <c r="H90" s="35" t="inlineStr"/>
      <c r="I90" s="38" t="inlineStr">
        <is>
          <t>Profit and Loss 602,163.30 475,908.68</t>
        </is>
      </c>
    </row>
    <row r="91">
      <c r="A91" s="39" t="n">
        <v>90</v>
      </c>
      <c r="B91" s="40" t="inlineStr">
        <is>
          <t xml:space="preserve">  (D) FCTR</t>
        </is>
      </c>
      <c r="C91" s="39" t="inlineStr"/>
      <c r="D91" s="41" t="inlineStr"/>
      <c r="E91" s="41" t="inlineStr"/>
      <c r="F91" s="39" t="n">
        <v>1</v>
      </c>
      <c r="G91" s="39" t="inlineStr">
        <is>
          <t>Yes</t>
        </is>
      </c>
      <c r="H91" s="39" t="inlineStr"/>
      <c r="I91" s="42" t="inlineStr">
        <is>
          <t>(D) FCTR</t>
        </is>
      </c>
    </row>
    <row r="92">
      <c r="A92" s="35" t="n">
        <v>91</v>
      </c>
      <c r="B92" s="36" t="inlineStr">
        <is>
          <t>a) FCTR</t>
        </is>
      </c>
      <c r="C92" s="35" t="inlineStr"/>
      <c r="D92" s="37" t="inlineStr">
        <is>
          <t>70,895.72</t>
        </is>
      </c>
      <c r="E92" s="37" t="inlineStr">
        <is>
          <t>30,610.39</t>
        </is>
      </c>
      <c r="F92" s="35" t="n">
        <v>0</v>
      </c>
      <c r="G92" s="35" t="inlineStr"/>
      <c r="H92" s="35" t="inlineStr"/>
      <c r="I92" s="38" t="inlineStr">
        <is>
          <t>a) FCTR 70,895.72 30,610.39</t>
        </is>
      </c>
    </row>
    <row r="93">
      <c r="A93" s="44" t="n">
        <v>92</v>
      </c>
      <c r="B93" s="45" t="inlineStr">
        <is>
          <t>Total FCTR</t>
        </is>
      </c>
      <c r="C93" s="44" t="inlineStr"/>
      <c r="D93" s="46" t="inlineStr">
        <is>
          <t>70,895.72</t>
        </is>
      </c>
      <c r="E93" s="46" t="inlineStr">
        <is>
          <t>30,610.39</t>
        </is>
      </c>
      <c r="F93" s="44" t="n">
        <v>0</v>
      </c>
      <c r="G93" s="44" t="inlineStr"/>
      <c r="H93" s="44" t="inlineStr">
        <is>
          <t>Yes</t>
        </is>
      </c>
      <c r="I93" s="47" t="inlineStr">
        <is>
          <t>Total FCTR 70,895.72 30,610.39</t>
        </is>
      </c>
    </row>
    <row r="94">
      <c r="A94" s="35" t="n">
        <v>93</v>
      </c>
      <c r="B94" s="43" t="inlineStr">
        <is>
          <t xml:space="preserve">  (E) Total Other Equity</t>
        </is>
      </c>
      <c r="C94" s="35" t="inlineStr"/>
      <c r="D94" s="37" t="inlineStr">
        <is>
          <t>881,051.97</t>
        </is>
      </c>
      <c r="E94" s="37" t="inlineStr">
        <is>
          <t>714,512.02</t>
        </is>
      </c>
      <c r="F94" s="35" t="n">
        <v>1</v>
      </c>
      <c r="G94" s="35" t="inlineStr"/>
      <c r="H94" s="35" t="inlineStr"/>
      <c r="I94" s="38" t="inlineStr">
        <is>
          <t>(E) Total Other Equity 881,051.97 714,512.02</t>
        </is>
      </c>
    </row>
    <row r="95">
      <c r="A95" s="39" t="n">
        <v>94</v>
      </c>
      <c r="B95" s="40" t="inlineStr">
        <is>
          <t>12 OTHER FINANCIAL LIABILITIES</t>
        </is>
      </c>
      <c r="C95" s="39" t="inlineStr"/>
      <c r="D95" s="41" t="inlineStr"/>
      <c r="E95" s="41" t="inlineStr"/>
      <c r="F95" s="39" t="n">
        <v>0</v>
      </c>
      <c r="G95" s="39" t="inlineStr">
        <is>
          <t>Yes</t>
        </is>
      </c>
      <c r="H95" s="39" t="inlineStr"/>
      <c r="I95" s="42" t="inlineStr">
        <is>
          <t>12 OTHER FINANCIAL LIABILITIES</t>
        </is>
      </c>
    </row>
    <row r="96">
      <c r="A96" s="35" t="n">
        <v>95</v>
      </c>
      <c r="B96" s="43" t="inlineStr">
        <is>
          <t xml:space="preserve">  (i) Franchise Deposit Received</t>
        </is>
      </c>
      <c r="C96" s="35" t="inlineStr"/>
      <c r="D96" s="37" t="inlineStr">
        <is>
          <t>386.22</t>
        </is>
      </c>
      <c r="E96" s="37" t="inlineStr">
        <is>
          <t>430.77</t>
        </is>
      </c>
      <c r="F96" s="35" t="n">
        <v>1</v>
      </c>
      <c r="G96" s="35" t="inlineStr"/>
      <c r="H96" s="35" t="inlineStr"/>
      <c r="I96" s="38" t="inlineStr">
        <is>
          <t>(i) Franchise Deposit Received 386.22 430.77</t>
        </is>
      </c>
    </row>
    <row r="97">
      <c r="A97" s="35" t="n">
        <v>96</v>
      </c>
      <c r="B97" s="43" t="inlineStr">
        <is>
          <t xml:space="preserve">  (ii) Rent Advance</t>
        </is>
      </c>
      <c r="C97" s="35" t="inlineStr"/>
      <c r="D97" s="37" t="inlineStr">
        <is>
          <t>255.52</t>
        </is>
      </c>
      <c r="E97" s="37" t="inlineStr">
        <is>
          <t>214.23</t>
        </is>
      </c>
      <c r="F97" s="35" t="n">
        <v>1</v>
      </c>
      <c r="G97" s="35" t="inlineStr"/>
      <c r="H97" s="35" t="inlineStr"/>
      <c r="I97" s="38" t="inlineStr">
        <is>
          <t>(ii) Rent Advance 255.52 214.23</t>
        </is>
      </c>
    </row>
    <row r="98">
      <c r="A98" s="35" t="n">
        <v>97</v>
      </c>
      <c r="B98" s="43" t="inlineStr">
        <is>
          <t xml:space="preserve">  (iii) Other Long term liability</t>
        </is>
      </c>
      <c r="C98" s="35" t="inlineStr"/>
      <c r="D98" s="37" t="inlineStr"/>
      <c r="E98" s="37" t="inlineStr"/>
      <c r="F98" s="35" t="n">
        <v>1</v>
      </c>
      <c r="G98" s="35" t="inlineStr"/>
      <c r="H98" s="35" t="inlineStr"/>
      <c r="I98" s="38" t="inlineStr">
        <is>
          <t>(iii) Other Long term liability</t>
        </is>
      </c>
    </row>
    <row r="99">
      <c r="A99" s="35" t="n">
        <v>98</v>
      </c>
      <c r="B99" s="43" t="inlineStr">
        <is>
          <t xml:space="preserve">  (iv) Bank Debt</t>
        </is>
      </c>
      <c r="C99" s="35" t="inlineStr"/>
      <c r="D99" s="37" t="inlineStr">
        <is>
          <t>12,549.94</t>
        </is>
      </c>
      <c r="E99" s="37" t="inlineStr">
        <is>
          <t>24,417.29</t>
        </is>
      </c>
      <c r="F99" s="35" t="n">
        <v>1</v>
      </c>
      <c r="G99" s="35" t="inlineStr"/>
      <c r="H99" s="35" t="inlineStr"/>
      <c r="I99" s="38" t="inlineStr">
        <is>
          <t>(iv) Bank Debt 12,549.94 24,417.29</t>
        </is>
      </c>
    </row>
    <row r="100">
      <c r="A100" s="44" t="n">
        <v>99</v>
      </c>
      <c r="B100" s="45" t="inlineStr">
        <is>
          <t>Total Other Financial Liabilities</t>
        </is>
      </c>
      <c r="C100" s="44" t="inlineStr"/>
      <c r="D100" s="46" t="inlineStr">
        <is>
          <t>13,191.69</t>
        </is>
      </c>
      <c r="E100" s="46" t="inlineStr">
        <is>
          <t>25,062.30</t>
        </is>
      </c>
      <c r="F100" s="44" t="n">
        <v>0</v>
      </c>
      <c r="G100" s="44" t="inlineStr"/>
      <c r="H100" s="44" t="inlineStr">
        <is>
          <t>Yes</t>
        </is>
      </c>
      <c r="I100" s="47" t="inlineStr">
        <is>
          <t>Total Other Financial Liabilities 13,191.69 25,062.30</t>
        </is>
      </c>
    </row>
    <row r="101">
      <c r="A101" s="39" t="n">
        <v>100</v>
      </c>
      <c r="B101" s="40" t="inlineStr">
        <is>
          <t>13 DEFERRED TAX LIABILITIES (NET)</t>
        </is>
      </c>
      <c r="C101" s="39" t="inlineStr"/>
      <c r="D101" s="41" t="inlineStr"/>
      <c r="E101" s="41" t="inlineStr"/>
      <c r="F101" s="39" t="n">
        <v>0</v>
      </c>
      <c r="G101" s="39" t="inlineStr">
        <is>
          <t>Yes</t>
        </is>
      </c>
      <c r="H101" s="39" t="inlineStr"/>
      <c r="I101" s="42" t="inlineStr">
        <is>
          <t>13 DEFERRED TAX LIABILITIES (NET)</t>
        </is>
      </c>
    </row>
    <row r="102">
      <c r="A102" s="35" t="n">
        <v>101</v>
      </c>
      <c r="B102" s="36" t="inlineStr">
        <is>
          <t>Deferred Tax Liabilities</t>
        </is>
      </c>
      <c r="C102" s="35" t="inlineStr"/>
      <c r="D102" s="37" t="inlineStr">
        <is>
          <t>8,579.60</t>
        </is>
      </c>
      <c r="E102" s="37" t="inlineStr">
        <is>
          <t>7,871.63</t>
        </is>
      </c>
      <c r="F102" s="35" t="n">
        <v>0</v>
      </c>
      <c r="G102" s="35" t="inlineStr"/>
      <c r="H102" s="35" t="inlineStr"/>
      <c r="I102" s="38" t="inlineStr">
        <is>
          <t>Deferred Tax Liabilities 8,579.60 7,871.63</t>
        </is>
      </c>
    </row>
    <row r="103">
      <c r="A103" s="35" t="n">
        <v>102</v>
      </c>
      <c r="B103" s="36" t="inlineStr">
        <is>
          <t>Deferred Tax liabilities ( Net )</t>
        </is>
      </c>
      <c r="C103" s="35" t="inlineStr"/>
      <c r="D103" s="37" t="inlineStr">
        <is>
          <t>8,579.60</t>
        </is>
      </c>
      <c r="E103" s="37" t="inlineStr">
        <is>
          <t>7,871.63</t>
        </is>
      </c>
      <c r="F103" s="35" t="n">
        <v>0</v>
      </c>
      <c r="G103" s="35" t="inlineStr"/>
      <c r="H103" s="35" t="inlineStr"/>
      <c r="I103" s="38" t="inlineStr">
        <is>
          <t>Deferred Tax liabilities ( Net ) 8,579.60 7,871.63</t>
        </is>
      </c>
    </row>
    <row r="105">
      <c r="A105" s="48" t="inlineStr">
        <is>
          <t>Source Pages:</t>
        </is>
      </c>
      <c r="B105" s="49" t="inlineStr">
        <is>
          <t>49, 52, 56, 67, 107</t>
        </is>
      </c>
    </row>
    <row r="106">
      <c r="A106" s="48" t="inlineStr">
        <is>
          <t>Unit:</t>
        </is>
      </c>
      <c r="B106" s="49" t="inlineStr">
        <is>
          <t>₹ in Lakhs</t>
        </is>
      </c>
    </row>
  </sheetData>
  <autoFilter ref="A1:I1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2019</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2019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29, 2019 Proprietor</t>
        </is>
      </c>
      <c r="C8" s="35" t="inlineStr"/>
      <c r="D8" s="37" t="inlineStr"/>
      <c r="E8" s="37" t="inlineStr"/>
      <c r="F8" s="35" t="n">
        <v>0</v>
      </c>
      <c r="G8" s="35" t="inlineStr"/>
      <c r="H8" s="35" t="inlineStr"/>
      <c r="I8" s="38" t="inlineStr">
        <is>
          <t>Sd/- | Date : May 29, 2019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STATEMENT OF STANDALONE PROFIT AND LOSS ACCOUNT</t>
        </is>
      </c>
      <c r="C10" s="39" t="inlineStr"/>
      <c r="D10" s="41" t="inlineStr"/>
      <c r="E10" s="41" t="inlineStr"/>
      <c r="F10" s="39" t="n">
        <v>0</v>
      </c>
      <c r="G10" s="39" t="inlineStr">
        <is>
          <t>Yes</t>
        </is>
      </c>
      <c r="H10" s="39" t="inlineStr"/>
      <c r="I10" s="42" t="inlineStr">
        <is>
          <t>STATEMENT OF STANDALONE PROFIT AND LOSS ACCOUNT</t>
        </is>
      </c>
    </row>
    <row r="11">
      <c r="A11" s="35" t="n">
        <v>10</v>
      </c>
      <c r="B11" s="36" t="inlineStr">
        <is>
          <t>FOR THE YEAR ENDED MARCH 31, (Rs. in lakhs)</t>
        </is>
      </c>
      <c r="C11" s="35" t="inlineStr">
        <is>
          <t>31</t>
        </is>
      </c>
      <c r="D11" s="37" t="inlineStr">
        <is>
          <t>2019</t>
        </is>
      </c>
      <c r="E11" s="37" t="inlineStr"/>
      <c r="F11" s="35" t="n">
        <v>0</v>
      </c>
      <c r="G11" s="35" t="inlineStr"/>
      <c r="H11" s="35" t="inlineStr"/>
      <c r="I11" s="38" t="inlineStr">
        <is>
          <t>FOR THE YEAR ENDED MARCH 31, 2019 | (Rs. in lakhs)</t>
        </is>
      </c>
    </row>
    <row r="12">
      <c r="A12" s="35" t="n">
        <v>11</v>
      </c>
      <c r="B12" s="36" t="inlineStr">
        <is>
          <t>Note No As on 31.03.2019 As on 31.03.2018</t>
        </is>
      </c>
      <c r="C12" s="35" t="inlineStr"/>
      <c r="D12" s="37" t="inlineStr"/>
      <c r="E12" s="37" t="inlineStr"/>
      <c r="F12" s="35" t="n">
        <v>0</v>
      </c>
      <c r="G12" s="35" t="inlineStr"/>
      <c r="H12" s="35" t="inlineStr"/>
      <c r="I12" s="38" t="inlineStr">
        <is>
          <t>Note No As on 31.03.2019 As on 31.03.2018</t>
        </is>
      </c>
    </row>
    <row r="13">
      <c r="A13" s="39" t="n">
        <v>12</v>
      </c>
      <c r="B13" s="40" t="inlineStr">
        <is>
          <t>REVENUE FROM OPERATIONS</t>
        </is>
      </c>
      <c r="C13" s="39" t="inlineStr"/>
      <c r="D13" s="41" t="inlineStr"/>
      <c r="E13" s="41" t="inlineStr"/>
      <c r="F13" s="39" t="n">
        <v>0</v>
      </c>
      <c r="G13" s="39" t="inlineStr">
        <is>
          <t>Yes</t>
        </is>
      </c>
      <c r="H13" s="39" t="inlineStr"/>
      <c r="I13" s="42" t="inlineStr">
        <is>
          <t>REVENUE FROM OPERATIONS</t>
        </is>
      </c>
    </row>
    <row r="14">
      <c r="A14" s="35" t="n">
        <v>13</v>
      </c>
      <c r="B14" s="36" t="inlineStr">
        <is>
          <t>Revenue from Operations 20</t>
        </is>
      </c>
      <c r="C14" s="35" t="inlineStr">
        <is>
          <t>20</t>
        </is>
      </c>
      <c r="D14" s="37" t="inlineStr">
        <is>
          <t>4,267,088.64</t>
        </is>
      </c>
      <c r="E14" s="37" t="inlineStr">
        <is>
          <t>3,366,046.34</t>
        </is>
      </c>
      <c r="F14" s="35" t="n">
        <v>0</v>
      </c>
      <c r="G14" s="35" t="inlineStr"/>
      <c r="H14" s="35" t="inlineStr"/>
      <c r="I14" s="38" t="inlineStr">
        <is>
          <t>Revenue from Operations 20 4,267,088.64 3,366,046.34</t>
        </is>
      </c>
    </row>
    <row r="15">
      <c r="A15" s="35" t="n">
        <v>14</v>
      </c>
      <c r="B15" s="36" t="inlineStr">
        <is>
          <t>Other Income 21</t>
        </is>
      </c>
      <c r="C15" s="35" t="inlineStr">
        <is>
          <t>21</t>
        </is>
      </c>
      <c r="D15" s="37" t="inlineStr">
        <is>
          <t>5,150.28</t>
        </is>
      </c>
      <c r="E15" s="37" t="inlineStr">
        <is>
          <t>3,825.43</t>
        </is>
      </c>
      <c r="F15" s="35" t="n">
        <v>0</v>
      </c>
      <c r="G15" s="35" t="inlineStr"/>
      <c r="H15" s="35" t="inlineStr"/>
      <c r="I15" s="38" t="inlineStr">
        <is>
          <t>Other Income 21 5,150.28 3,825.43</t>
        </is>
      </c>
    </row>
    <row r="16">
      <c r="A16" s="44" t="n">
        <v>15</v>
      </c>
      <c r="B16" s="45" t="inlineStr">
        <is>
          <t>TOTAL REVENUE</t>
        </is>
      </c>
      <c r="C16" s="44" t="inlineStr"/>
      <c r="D16" s="46" t="inlineStr">
        <is>
          <t>4,272,238.92</t>
        </is>
      </c>
      <c r="E16" s="46" t="inlineStr">
        <is>
          <t>3,369,871.77</t>
        </is>
      </c>
      <c r="F16" s="44" t="n">
        <v>0</v>
      </c>
      <c r="G16" s="44" t="inlineStr"/>
      <c r="H16" s="44" t="inlineStr">
        <is>
          <t>Yes</t>
        </is>
      </c>
      <c r="I16" s="47" t="inlineStr">
        <is>
          <t>TOTAL REVENUE 4,272,238.92 3,369,871.77</t>
        </is>
      </c>
    </row>
    <row r="17">
      <c r="A17" s="39" t="n">
        <v>16</v>
      </c>
      <c r="B17" s="40" t="inlineStr">
        <is>
          <t>EXPENSES</t>
        </is>
      </c>
      <c r="C17" s="39" t="inlineStr"/>
      <c r="D17" s="41" t="inlineStr"/>
      <c r="E17" s="41" t="inlineStr"/>
      <c r="F17" s="39" t="n">
        <v>0</v>
      </c>
      <c r="G17" s="39" t="inlineStr">
        <is>
          <t>Yes</t>
        </is>
      </c>
      <c r="H17" s="39" t="inlineStr"/>
      <c r="I17" s="42" t="inlineStr">
        <is>
          <t>EXPENSES</t>
        </is>
      </c>
    </row>
    <row r="18">
      <c r="A18" s="35" t="n">
        <v>17</v>
      </c>
      <c r="B18" s="36" t="inlineStr">
        <is>
          <t>Cost of Materials Consumed 22</t>
        </is>
      </c>
      <c r="C18" s="35" t="inlineStr">
        <is>
          <t>22</t>
        </is>
      </c>
      <c r="D18" s="37" t="inlineStr">
        <is>
          <t>4,189,519.59</t>
        </is>
      </c>
      <c r="E18" s="37" t="inlineStr">
        <is>
          <t>3,273,107.20</t>
        </is>
      </c>
      <c r="F18" s="35" t="n">
        <v>0</v>
      </c>
      <c r="G18" s="35" t="inlineStr"/>
      <c r="H18" s="35" t="inlineStr"/>
      <c r="I18" s="38" t="inlineStr">
        <is>
          <t>Cost of Materials Consumed 22 4,189,519.59 3,273,107.20</t>
        </is>
      </c>
    </row>
    <row r="19">
      <c r="A19" s="35" t="n">
        <v>18</v>
      </c>
      <c r="B19" s="36" t="inlineStr">
        <is>
          <t>Employee Benefit Expenses 23</t>
        </is>
      </c>
      <c r="C19" s="35" t="inlineStr">
        <is>
          <t>23</t>
        </is>
      </c>
      <c r="D19" s="37" t="inlineStr">
        <is>
          <t>687.19</t>
        </is>
      </c>
      <c r="E19" s="37" t="inlineStr">
        <is>
          <t>607.86</t>
        </is>
      </c>
      <c r="F19" s="35" t="n">
        <v>0</v>
      </c>
      <c r="G19" s="35" t="inlineStr"/>
      <c r="H19" s="35" t="inlineStr"/>
      <c r="I19" s="38" t="inlineStr">
        <is>
          <t>Employee Benefit Expenses 23 687.19 607.86</t>
        </is>
      </c>
    </row>
    <row r="20">
      <c r="A20" s="35" t="n">
        <v>19</v>
      </c>
      <c r="B20" s="36" t="inlineStr">
        <is>
          <t>Selling, Administrative and Other Expenses 24</t>
        </is>
      </c>
      <c r="C20" s="35" t="inlineStr">
        <is>
          <t>24</t>
        </is>
      </c>
      <c r="D20" s="37" t="inlineStr">
        <is>
          <t>3,350.16</t>
        </is>
      </c>
      <c r="E20" s="37" t="inlineStr">
        <is>
          <t>4,072.75</t>
        </is>
      </c>
      <c r="F20" s="35" t="n">
        <v>0</v>
      </c>
      <c r="G20" s="35" t="inlineStr"/>
      <c r="H20" s="35" t="inlineStr"/>
      <c r="I20" s="38" t="inlineStr">
        <is>
          <t>Selling, Administrative and Other Expenses 24 3,350.16 4,072.75</t>
        </is>
      </c>
    </row>
    <row r="21">
      <c r="A21" s="35" t="n">
        <v>20</v>
      </c>
      <c r="B21" s="36" t="inlineStr">
        <is>
          <t>Finance Costs 25</t>
        </is>
      </c>
      <c r="C21" s="35" t="inlineStr">
        <is>
          <t>25</t>
        </is>
      </c>
      <c r="D21" s="37" t="inlineStr">
        <is>
          <t>31,983.54</t>
        </is>
      </c>
      <c r="E21" s="37" t="inlineStr">
        <is>
          <t>43,083.39</t>
        </is>
      </c>
      <c r="F21" s="35" t="n">
        <v>0</v>
      </c>
      <c r="G21" s="35" t="inlineStr"/>
      <c r="H21" s="35" t="inlineStr"/>
      <c r="I21" s="38" t="inlineStr">
        <is>
          <t>Finance Costs 25 31,983.54 43,083.39</t>
        </is>
      </c>
    </row>
    <row r="22">
      <c r="A22" s="35" t="n">
        <v>21</v>
      </c>
      <c r="B22" s="36" t="inlineStr">
        <is>
          <t>Depreciation and Amortization Expenses 2</t>
        </is>
      </c>
      <c r="C22" s="35" t="inlineStr">
        <is>
          <t>2</t>
        </is>
      </c>
      <c r="D22" s="37" t="inlineStr">
        <is>
          <t>140.94</t>
        </is>
      </c>
      <c r="E22" s="37" t="inlineStr">
        <is>
          <t>149.19</t>
        </is>
      </c>
      <c r="F22" s="35" t="n">
        <v>0</v>
      </c>
      <c r="G22" s="35" t="inlineStr"/>
      <c r="H22" s="35" t="inlineStr"/>
      <c r="I22" s="38" t="inlineStr">
        <is>
          <t>Depreciation and Amortization Expenses 2 140.94 149.19</t>
        </is>
      </c>
    </row>
    <row r="23">
      <c r="A23" s="44" t="n">
        <v>22</v>
      </c>
      <c r="B23" s="45" t="inlineStr">
        <is>
          <t>TOTAL EXPENSES</t>
        </is>
      </c>
      <c r="C23" s="44" t="inlineStr"/>
      <c r="D23" s="46" t="inlineStr">
        <is>
          <t>4,225,681.42</t>
        </is>
      </c>
      <c r="E23" s="46" t="inlineStr">
        <is>
          <t>3,321,020.40</t>
        </is>
      </c>
      <c r="F23" s="44" t="n">
        <v>0</v>
      </c>
      <c r="G23" s="44" t="inlineStr"/>
      <c r="H23" s="44" t="inlineStr">
        <is>
          <t>Yes</t>
        </is>
      </c>
      <c r="I23" s="47" t="inlineStr">
        <is>
          <t>TOTAL EXPENSES 4,225,681.42 3,321,020.40</t>
        </is>
      </c>
    </row>
    <row r="24">
      <c r="A24" s="35" t="n">
        <v>23</v>
      </c>
      <c r="B24" s="36" t="inlineStr">
        <is>
          <t>Profit Before Tax - PBT</t>
        </is>
      </c>
      <c r="C24" s="35" t="inlineStr"/>
      <c r="D24" s="37" t="inlineStr">
        <is>
          <t>46,557.50</t>
        </is>
      </c>
      <c r="E24" s="37" t="inlineStr">
        <is>
          <t>48,851.37</t>
        </is>
      </c>
      <c r="F24" s="35" t="n">
        <v>0</v>
      </c>
      <c r="G24" s="35" t="inlineStr"/>
      <c r="H24" s="35" t="inlineStr"/>
      <c r="I24" s="38" t="inlineStr">
        <is>
          <t>Profit Before Tax - PBT 46,557.50 48,851.37</t>
        </is>
      </c>
    </row>
    <row r="25">
      <c r="A25" s="35" t="n">
        <v>24</v>
      </c>
      <c r="B25" s="36" t="inlineStr">
        <is>
          <t>Tax expense:</t>
        </is>
      </c>
      <c r="C25" s="35" t="inlineStr"/>
      <c r="D25" s="37" t="inlineStr"/>
      <c r="E25" s="37" t="inlineStr"/>
      <c r="F25" s="35" t="n">
        <v>0</v>
      </c>
      <c r="G25" s="35" t="inlineStr"/>
      <c r="H25" s="35" t="inlineStr"/>
      <c r="I25" s="38" t="inlineStr">
        <is>
          <t>Tax expense:</t>
        </is>
      </c>
    </row>
    <row r="26">
      <c r="A26" s="35" t="n">
        <v>25</v>
      </c>
      <c r="B26" s="36" t="inlineStr">
        <is>
          <t>Current tax expense for current year</t>
        </is>
      </c>
      <c r="C26" s="35" t="inlineStr"/>
      <c r="D26" s="37" t="inlineStr">
        <is>
          <t>2,396.00</t>
        </is>
      </c>
      <c r="E26" s="37" t="inlineStr">
        <is>
          <t>4,722.75</t>
        </is>
      </c>
      <c r="F26" s="35" t="n">
        <v>0</v>
      </c>
      <c r="G26" s="35" t="inlineStr"/>
      <c r="H26" s="35" t="inlineStr"/>
      <c r="I26" s="38" t="inlineStr">
        <is>
          <t>Current tax expense for current year 2,396.00 4,722.75</t>
        </is>
      </c>
    </row>
    <row r="27">
      <c r="A27" s="35" t="n">
        <v>26</v>
      </c>
      <c r="B27" s="36" t="inlineStr">
        <is>
          <t>Deferred tax expense / (income)</t>
        </is>
      </c>
      <c r="C27" s="35" t="inlineStr"/>
      <c r="D27" s="37" t="inlineStr">
        <is>
          <t>(50.12)</t>
        </is>
      </c>
      <c r="E27" s="37" t="inlineStr">
        <is>
          <t>2.88</t>
        </is>
      </c>
      <c r="F27" s="35" t="n">
        <v>0</v>
      </c>
      <c r="G27" s="35" t="inlineStr"/>
      <c r="H27" s="35" t="inlineStr"/>
      <c r="I27" s="38" t="inlineStr">
        <is>
          <t>Deferred tax expense / (income) (50.12) 2.88</t>
        </is>
      </c>
    </row>
    <row r="28">
      <c r="A28" s="35" t="n">
        <v>27</v>
      </c>
      <c r="B28" s="36" t="inlineStr">
        <is>
          <t>PROFIT FOR THE YEAR</t>
        </is>
      </c>
      <c r="C28" s="35" t="inlineStr"/>
      <c r="D28" s="37" t="inlineStr">
        <is>
          <t>44,211.62</t>
        </is>
      </c>
      <c r="E28" s="37" t="inlineStr">
        <is>
          <t>44,125.75</t>
        </is>
      </c>
      <c r="F28" s="35" t="n">
        <v>0</v>
      </c>
      <c r="G28" s="35" t="inlineStr"/>
      <c r="H28" s="35" t="inlineStr"/>
      <c r="I28" s="38" t="inlineStr">
        <is>
          <t>PROFIT FOR THE YEAR 44,211.62 44,125.75</t>
        </is>
      </c>
    </row>
    <row r="29">
      <c r="A29" s="35" t="n">
        <v>28</v>
      </c>
      <c r="B29" s="36" t="inlineStr">
        <is>
          <t>Other comprehensive income</t>
        </is>
      </c>
      <c r="C29" s="35" t="inlineStr"/>
      <c r="D29" s="37" t="inlineStr"/>
      <c r="E29" s="37" t="inlineStr"/>
      <c r="F29" s="35" t="n">
        <v>0</v>
      </c>
      <c r="G29" s="35" t="inlineStr"/>
      <c r="H29" s="35" t="inlineStr"/>
      <c r="I29" s="38" t="inlineStr">
        <is>
          <t>Other comprehensive income</t>
        </is>
      </c>
    </row>
    <row r="30">
      <c r="A30" s="35" t="n">
        <v>29</v>
      </c>
      <c r="B30" s="43" t="inlineStr">
        <is>
          <t xml:space="preserve">  (i) Items that will not be reclassified to the</t>
        </is>
      </c>
      <c r="C30" s="35" t="inlineStr"/>
      <c r="D30" s="37" t="inlineStr"/>
      <c r="E30" s="37" t="inlineStr"/>
      <c r="F30" s="35" t="n">
        <v>1</v>
      </c>
      <c r="G30" s="35" t="inlineStr"/>
      <c r="H30" s="35" t="inlineStr"/>
      <c r="I30" s="38" t="inlineStr">
        <is>
          <t>(i) Items that will not be reclassified to the</t>
        </is>
      </c>
    </row>
    <row r="31">
      <c r="A31" s="35" t="n">
        <v>30</v>
      </c>
      <c r="B31" s="36" t="inlineStr">
        <is>
          <t>statement of profit and loss</t>
        </is>
      </c>
      <c r="C31" s="35" t="inlineStr"/>
      <c r="D31" s="37" t="inlineStr">
        <is>
          <t>(5.43)</t>
        </is>
      </c>
      <c r="E31" s="37" t="inlineStr">
        <is>
          <t>(7.37)</t>
        </is>
      </c>
      <c r="F31" s="35" t="n">
        <v>0</v>
      </c>
      <c r="G31" s="35" t="inlineStr"/>
      <c r="H31" s="35" t="inlineStr"/>
      <c r="I31" s="38" t="inlineStr">
        <is>
          <t>statement of profit and loss (5.43) (7.37)</t>
        </is>
      </c>
    </row>
    <row r="32">
      <c r="A32" s="35" t="n">
        <v>31</v>
      </c>
      <c r="B32" s="43" t="inlineStr">
        <is>
          <t xml:space="preserve">  (ii) Items that will be reclassified to the</t>
        </is>
      </c>
      <c r="C32" s="35" t="inlineStr"/>
      <c r="D32" s="37" t="inlineStr"/>
      <c r="E32" s="37" t="inlineStr"/>
      <c r="F32" s="35" t="n">
        <v>1</v>
      </c>
      <c r="G32" s="35" t="inlineStr"/>
      <c r="H32" s="35" t="inlineStr"/>
      <c r="I32" s="38" t="inlineStr">
        <is>
          <t>(ii) Items that will be reclassified to the</t>
        </is>
      </c>
    </row>
    <row r="33">
      <c r="A33" s="35" t="n">
        <v>32</v>
      </c>
      <c r="B33" s="36" t="inlineStr">
        <is>
          <t>statement of profit and loss</t>
        </is>
      </c>
      <c r="C33" s="35" t="inlineStr"/>
      <c r="D33" s="37" t="inlineStr">
        <is>
          <t>-</t>
        </is>
      </c>
      <c r="E33" s="37" t="inlineStr">
        <is>
          <t>-</t>
        </is>
      </c>
      <c r="F33" s="35" t="n">
        <v>0</v>
      </c>
      <c r="G33" s="35" t="inlineStr"/>
      <c r="H33" s="35" t="inlineStr"/>
      <c r="I33" s="38" t="inlineStr">
        <is>
          <t>statement of profit and loss - -</t>
        </is>
      </c>
    </row>
    <row r="34">
      <c r="A34" s="44" t="n">
        <v>33</v>
      </c>
      <c r="B34" s="45" t="inlineStr">
        <is>
          <t>Total other comprehensive income</t>
        </is>
      </c>
      <c r="C34" s="44" t="inlineStr"/>
      <c r="D34" s="46" t="inlineStr">
        <is>
          <t>(5.43)</t>
        </is>
      </c>
      <c r="E34" s="46" t="inlineStr">
        <is>
          <t>(7.37)</t>
        </is>
      </c>
      <c r="F34" s="44" t="n">
        <v>0</v>
      </c>
      <c r="G34" s="44" t="inlineStr"/>
      <c r="H34" s="44" t="inlineStr">
        <is>
          <t>Yes</t>
        </is>
      </c>
      <c r="I34" s="47" t="inlineStr">
        <is>
          <t>Total other comprehensive income (5.43) (7.37)</t>
        </is>
      </c>
    </row>
    <row r="35">
      <c r="A35" s="44" t="n">
        <v>34</v>
      </c>
      <c r="B35" s="45" t="inlineStr">
        <is>
          <t>Total comprehensive income</t>
        </is>
      </c>
      <c r="C35" s="44" t="inlineStr"/>
      <c r="D35" s="46" t="inlineStr">
        <is>
          <t>44,206.19</t>
        </is>
      </c>
      <c r="E35" s="46" t="inlineStr">
        <is>
          <t>44,118.38</t>
        </is>
      </c>
      <c r="F35" s="44" t="n">
        <v>0</v>
      </c>
      <c r="G35" s="44" t="inlineStr"/>
      <c r="H35" s="44" t="inlineStr">
        <is>
          <t>Yes</t>
        </is>
      </c>
      <c r="I35" s="47" t="inlineStr">
        <is>
          <t>Total comprehensive income 44,206.19 44,118.38</t>
        </is>
      </c>
    </row>
    <row r="36">
      <c r="A36" s="35" t="n">
        <v>35</v>
      </c>
      <c r="B36" s="36" t="inlineStr">
        <is>
          <t>Earning Per Share (Re. 1 Per Share for Each)</t>
        </is>
      </c>
      <c r="C36" s="35" t="inlineStr"/>
      <c r="D36" s="37" t="inlineStr"/>
      <c r="E36" s="37" t="inlineStr"/>
      <c r="F36" s="35" t="n">
        <v>0</v>
      </c>
      <c r="G36" s="35" t="inlineStr"/>
      <c r="H36" s="35" t="inlineStr"/>
      <c r="I36" s="38" t="inlineStr">
        <is>
          <t>Earning Per Share (Re. 1 Per Share for Each)</t>
        </is>
      </c>
    </row>
    <row r="37">
      <c r="A37" s="35" t="n">
        <v>36</v>
      </c>
      <c r="B37" s="36" t="inlineStr">
        <is>
          <t>Basic</t>
        </is>
      </c>
      <c r="C37" s="35" t="inlineStr"/>
      <c r="D37" s="37" t="inlineStr">
        <is>
          <t>14.97</t>
        </is>
      </c>
      <c r="E37" s="37" t="inlineStr">
        <is>
          <t>14.94</t>
        </is>
      </c>
      <c r="F37" s="35" t="n">
        <v>0</v>
      </c>
      <c r="G37" s="35" t="inlineStr"/>
      <c r="H37" s="35" t="inlineStr"/>
      <c r="I37" s="38" t="inlineStr">
        <is>
          <t>Basic 14.97 14.94</t>
        </is>
      </c>
    </row>
    <row r="38">
      <c r="A38" s="35" t="n">
        <v>37</v>
      </c>
      <c r="B38" s="36" t="inlineStr">
        <is>
          <t>Diluted</t>
        </is>
      </c>
      <c r="C38" s="35" t="inlineStr"/>
      <c r="D38" s="37" t="inlineStr">
        <is>
          <t>14.97</t>
        </is>
      </c>
      <c r="E38" s="37" t="inlineStr">
        <is>
          <t>14.94</t>
        </is>
      </c>
      <c r="F38" s="35" t="n">
        <v>0</v>
      </c>
      <c r="G38" s="35" t="inlineStr"/>
      <c r="H38" s="35" t="inlineStr"/>
      <c r="I38" s="38" t="inlineStr">
        <is>
          <t>Diluted 14.97 14.94</t>
        </is>
      </c>
    </row>
    <row r="39">
      <c r="A39" s="35" t="n">
        <v>38</v>
      </c>
      <c r="B39" s="36" t="inlineStr">
        <is>
          <t>Accounting policies and other notes 1 &amp; For P V RAMANA REDDY &amp; CO</t>
        </is>
      </c>
      <c r="C39" s="35" t="inlineStr"/>
      <c r="D39" s="37" t="inlineStr">
        <is>
          <t>26</t>
        </is>
      </c>
      <c r="E39" s="37" t="inlineStr"/>
      <c r="F39" s="35" t="n">
        <v>0</v>
      </c>
      <c r="G39" s="35" t="inlineStr"/>
      <c r="H39" s="35" t="inlineStr"/>
      <c r="I39" s="38" t="inlineStr">
        <is>
          <t>Accounting policies and other notes 1 &amp; 26 | For P V RAMANA REDDY &amp; CO</t>
        </is>
      </c>
    </row>
    <row r="40">
      <c r="A40" s="35" t="n">
        <v>39</v>
      </c>
      <c r="B40" s="36" t="inlineStr">
        <is>
          <t>DIN : 00336457 DIN : 00336417 M.No. A50340</t>
        </is>
      </c>
      <c r="C40" s="35" t="inlineStr"/>
      <c r="D40" s="37" t="inlineStr"/>
      <c r="E40" s="37" t="inlineStr"/>
      <c r="F40" s="35" t="n">
        <v>0</v>
      </c>
      <c r="G40" s="35" t="inlineStr"/>
      <c r="H40" s="35" t="inlineStr"/>
      <c r="I40" s="38" t="inlineStr">
        <is>
          <t>DIN : 00336457 DIN : 00336417 M.No. A50340</t>
        </is>
      </c>
    </row>
    <row r="41">
      <c r="A41" s="35" t="n">
        <v>40</v>
      </c>
      <c r="B41" s="36" t="inlineStr">
        <is>
          <t>Sd/-</t>
        </is>
      </c>
      <c r="C41" s="35" t="inlineStr"/>
      <c r="D41" s="37" t="inlineStr"/>
      <c r="E41" s="37" t="inlineStr"/>
      <c r="F41" s="35" t="n">
        <v>0</v>
      </c>
      <c r="G41" s="35" t="inlineStr"/>
      <c r="H41" s="35" t="inlineStr"/>
      <c r="I41" s="38" t="inlineStr">
        <is>
          <t>Sd/-</t>
        </is>
      </c>
    </row>
    <row r="42">
      <c r="A42" s="39" t="n">
        <v>41</v>
      </c>
      <c r="B42" s="40" t="inlineStr">
        <is>
          <t>VIJAYA LAKSHMI (CA. P V RAMANA REDDY)</t>
        </is>
      </c>
      <c r="C42" s="39" t="inlineStr"/>
      <c r="D42" s="41" t="inlineStr"/>
      <c r="E42" s="41" t="inlineStr"/>
      <c r="F42" s="39" t="n">
        <v>0</v>
      </c>
      <c r="G42" s="39" t="inlineStr">
        <is>
          <t>Yes</t>
        </is>
      </c>
      <c r="H42" s="39" t="inlineStr"/>
      <c r="I42" s="42" t="inlineStr">
        <is>
          <t>VIJAYA LAKSHMI (CA. P V RAMANA REDDY)</t>
        </is>
      </c>
    </row>
    <row r="43">
      <c r="A43" s="35" t="n">
        <v>42</v>
      </c>
      <c r="B43" s="36" t="inlineStr">
        <is>
          <t>Note Particulars As on 31.03.2019 As on 31.03.2018 No. Rs. in lakhs Rs. in lakhs</t>
        </is>
      </c>
      <c r="C43" s="35" t="inlineStr"/>
      <c r="D43" s="37" t="inlineStr"/>
      <c r="E43" s="37" t="inlineStr"/>
      <c r="F43" s="35" t="n">
        <v>0</v>
      </c>
      <c r="G43" s="35" t="inlineStr"/>
      <c r="H43" s="35" t="inlineStr"/>
      <c r="I43" s="38" t="inlineStr">
        <is>
          <t>Note Particulars As on 31.03.2019 As on 31.03.2018 | No. Rs. in lakhs Rs. in lakhs</t>
        </is>
      </c>
    </row>
    <row r="44">
      <c r="A44" s="39" t="n">
        <v>43</v>
      </c>
      <c r="B44" s="40" t="inlineStr">
        <is>
          <t>11 OTHER EQUITY</t>
        </is>
      </c>
      <c r="C44" s="39" t="inlineStr"/>
      <c r="D44" s="41" t="inlineStr"/>
      <c r="E44" s="41" t="inlineStr"/>
      <c r="F44" s="39" t="n">
        <v>0</v>
      </c>
      <c r="G44" s="39" t="inlineStr">
        <is>
          <t>Yes</t>
        </is>
      </c>
      <c r="H44" s="39" t="inlineStr"/>
      <c r="I44" s="42" t="inlineStr">
        <is>
          <t>11 OTHER EQUITY</t>
        </is>
      </c>
    </row>
    <row r="45">
      <c r="A45" s="35" t="n">
        <v>44</v>
      </c>
      <c r="B45" s="43" t="inlineStr">
        <is>
          <t xml:space="preserve">  (A) Securities Premium Reserve</t>
        </is>
      </c>
      <c r="C45" s="35" t="inlineStr"/>
      <c r="D45" s="37" t="inlineStr"/>
      <c r="E45" s="37" t="inlineStr"/>
      <c r="F45" s="35" t="n">
        <v>1</v>
      </c>
      <c r="G45" s="35" t="inlineStr"/>
      <c r="H45" s="35" t="inlineStr"/>
      <c r="I45" s="38" t="inlineStr">
        <is>
          <t>(A) Securities Premium Reserve</t>
        </is>
      </c>
    </row>
    <row r="46">
      <c r="A46" s="35" t="n">
        <v>45</v>
      </c>
      <c r="B46" s="43" t="inlineStr">
        <is>
          <t xml:space="preserve">  (i) As per last Balance Sheet</t>
        </is>
      </c>
      <c r="C46" s="35" t="inlineStr"/>
      <c r="D46" s="37" t="inlineStr">
        <is>
          <t>64,492.95</t>
        </is>
      </c>
      <c r="E46" s="37" t="inlineStr">
        <is>
          <t>64,492.95</t>
        </is>
      </c>
      <c r="F46" s="35" t="n">
        <v>1</v>
      </c>
      <c r="G46" s="35" t="inlineStr"/>
      <c r="H46" s="35" t="inlineStr"/>
      <c r="I46" s="38" t="inlineStr">
        <is>
          <t>(i) As per last Balance Sheet 64,492.95 64,492.95</t>
        </is>
      </c>
    </row>
    <row r="47">
      <c r="A47" s="35" t="n">
        <v>46</v>
      </c>
      <c r="B47" s="43" t="inlineStr">
        <is>
          <t xml:space="preserve">  (ii) Additions during the year</t>
        </is>
      </c>
      <c r="C47" s="35" t="inlineStr"/>
      <c r="D47" s="37" t="inlineStr">
        <is>
          <t>0.00</t>
        </is>
      </c>
      <c r="E47" s="37" t="inlineStr">
        <is>
          <t>0.00</t>
        </is>
      </c>
      <c r="F47" s="35" t="n">
        <v>1</v>
      </c>
      <c r="G47" s="35" t="inlineStr"/>
      <c r="H47" s="35" t="inlineStr"/>
      <c r="I47" s="38" t="inlineStr">
        <is>
          <t>(ii) Additions during the year 0.00 0.00</t>
        </is>
      </c>
    </row>
    <row r="48">
      <c r="A48" s="44" t="n">
        <v>47</v>
      </c>
      <c r="B48" s="45" t="inlineStr">
        <is>
          <t>Total Securities Premium Reserve</t>
        </is>
      </c>
      <c r="C48" s="44" t="inlineStr"/>
      <c r="D48" s="46" t="inlineStr">
        <is>
          <t>64,492.95</t>
        </is>
      </c>
      <c r="E48" s="46" t="inlineStr">
        <is>
          <t>64,492.95</t>
        </is>
      </c>
      <c r="F48" s="44" t="n">
        <v>0</v>
      </c>
      <c r="G48" s="44" t="inlineStr"/>
      <c r="H48" s="44" t="inlineStr">
        <is>
          <t>Yes</t>
        </is>
      </c>
      <c r="I48" s="47" t="inlineStr">
        <is>
          <t>Total Securities Premium Reserve 64,492.95 64,492.95</t>
        </is>
      </c>
    </row>
    <row r="49">
      <c r="A49" s="35" t="n">
        <v>48</v>
      </c>
      <c r="B49" s="43" t="inlineStr">
        <is>
          <t xml:space="preserve">  (B) General Reserve:</t>
        </is>
      </c>
      <c r="C49" s="35" t="inlineStr"/>
      <c r="D49" s="37" t="inlineStr"/>
      <c r="E49" s="37" t="inlineStr"/>
      <c r="F49" s="35" t="n">
        <v>1</v>
      </c>
      <c r="G49" s="35" t="inlineStr"/>
      <c r="H49" s="35" t="inlineStr"/>
      <c r="I49" s="38" t="inlineStr">
        <is>
          <t>(B) General Reserve:</t>
        </is>
      </c>
    </row>
    <row r="50">
      <c r="A50" s="35" t="n">
        <v>49</v>
      </c>
      <c r="B50" s="43" t="inlineStr">
        <is>
          <t xml:space="preserve">  (i) As per last Balance Sheet</t>
        </is>
      </c>
      <c r="C50" s="35" t="inlineStr"/>
      <c r="D50" s="37" t="inlineStr">
        <is>
          <t>143,500.00</t>
        </is>
      </c>
      <c r="E50" s="37" t="inlineStr">
        <is>
          <t>143,500.00</t>
        </is>
      </c>
      <c r="F50" s="35" t="n">
        <v>1</v>
      </c>
      <c r="G50" s="35" t="inlineStr"/>
      <c r="H50" s="35" t="inlineStr"/>
      <c r="I50" s="38" t="inlineStr">
        <is>
          <t>(i) As per last Balance Sheet 143,500.00 143,500.00</t>
        </is>
      </c>
    </row>
    <row r="51">
      <c r="A51" s="35" t="n">
        <v>50</v>
      </c>
      <c r="B51" s="36" t="inlineStr">
        <is>
          <t>Add: Transferred from Profit and loss Account</t>
        </is>
      </c>
      <c r="C51" s="35" t="inlineStr"/>
      <c r="D51" s="37" t="inlineStr">
        <is>
          <t>0.00</t>
        </is>
      </c>
      <c r="E51" s="37" t="inlineStr">
        <is>
          <t>0.00</t>
        </is>
      </c>
      <c r="F51" s="35" t="n">
        <v>0</v>
      </c>
      <c r="G51" s="35" t="inlineStr"/>
      <c r="H51" s="35" t="inlineStr"/>
      <c r="I51" s="38" t="inlineStr">
        <is>
          <t>Add: Transferred from Profit and loss Account 0.00 0.00</t>
        </is>
      </c>
    </row>
    <row r="52">
      <c r="A52" s="44" t="n">
        <v>51</v>
      </c>
      <c r="B52" s="45" t="inlineStr">
        <is>
          <t>Total General Reserve</t>
        </is>
      </c>
      <c r="C52" s="44" t="inlineStr"/>
      <c r="D52" s="46" t="inlineStr">
        <is>
          <t>143,500.00</t>
        </is>
      </c>
      <c r="E52" s="46" t="inlineStr">
        <is>
          <t>143,500.00</t>
        </is>
      </c>
      <c r="F52" s="44" t="n">
        <v>0</v>
      </c>
      <c r="G52" s="44" t="inlineStr"/>
      <c r="H52" s="44" t="inlineStr">
        <is>
          <t>Yes</t>
        </is>
      </c>
      <c r="I52" s="47" t="inlineStr">
        <is>
          <t>Total General Reserve 143,500.00 143,500.00</t>
        </is>
      </c>
    </row>
    <row r="53">
      <c r="A53" s="35" t="n">
        <v>52</v>
      </c>
      <c r="B53" s="43" t="inlineStr">
        <is>
          <t xml:space="preserve">  (C) Surplus in Statement of Profit and Loss</t>
        </is>
      </c>
      <c r="C53" s="35" t="inlineStr"/>
      <c r="D53" s="37" t="inlineStr"/>
      <c r="E53" s="37" t="inlineStr"/>
      <c r="F53" s="35" t="n">
        <v>1</v>
      </c>
      <c r="G53" s="35" t="inlineStr"/>
      <c r="H53" s="35" t="inlineStr"/>
      <c r="I53" s="38" t="inlineStr">
        <is>
          <t>(C) Surplus in Statement of Profit and Loss</t>
        </is>
      </c>
    </row>
    <row r="54">
      <c r="A54" s="35" t="n">
        <v>53</v>
      </c>
      <c r="B54" s="43" t="inlineStr">
        <is>
          <t xml:space="preserve">  (i) As per last Balance Sheet</t>
        </is>
      </c>
      <c r="C54" s="35" t="inlineStr"/>
      <c r="D54" s="37" t="inlineStr">
        <is>
          <t>475,908.68</t>
        </is>
      </c>
      <c r="E54" s="37" t="inlineStr">
        <is>
          <t>352,577.84</t>
        </is>
      </c>
      <c r="F54" s="35" t="n">
        <v>1</v>
      </c>
      <c r="G54" s="35" t="inlineStr"/>
      <c r="H54" s="35" t="inlineStr"/>
      <c r="I54" s="38" t="inlineStr">
        <is>
          <t>(i) As per last Balance Sheet 475,908.68 352,577.84</t>
        </is>
      </c>
    </row>
    <row r="55">
      <c r="A55" s="35" t="n">
        <v>54</v>
      </c>
      <c r="B55" s="43" t="inlineStr">
        <is>
          <t xml:space="preserve">  (ii) Add: Profit for the year</t>
        </is>
      </c>
      <c r="C55" s="35" t="inlineStr"/>
      <c r="D55" s="37" t="inlineStr">
        <is>
          <t>129,207.22</t>
        </is>
      </c>
      <c r="E55" s="37" t="inlineStr">
        <is>
          <t>126,578.71</t>
        </is>
      </c>
      <c r="F55" s="35" t="n">
        <v>1</v>
      </c>
      <c r="G55" s="35" t="inlineStr"/>
      <c r="H55" s="35" t="inlineStr"/>
      <c r="I55" s="38" t="inlineStr">
        <is>
          <t>(ii) Add: Profit for the year 129,207.22 126,578.71</t>
        </is>
      </c>
    </row>
    <row r="56">
      <c r="A56" s="35" t="n">
        <v>55</v>
      </c>
      <c r="B56" s="43" t="inlineStr">
        <is>
          <t xml:space="preserve">  (iii) Add: Profit from Associate</t>
        </is>
      </c>
      <c r="C56" s="35" t="inlineStr"/>
      <c r="D56" s="37" t="inlineStr">
        <is>
          <t>-</t>
        </is>
      </c>
      <c r="E56" s="37" t="inlineStr">
        <is>
          <t>-</t>
        </is>
      </c>
      <c r="F56" s="35" t="n">
        <v>1</v>
      </c>
      <c r="G56" s="35" t="inlineStr"/>
      <c r="H56" s="35" t="inlineStr"/>
      <c r="I56" s="38" t="inlineStr">
        <is>
          <t>(iii) Add: Profit from Associate - -</t>
        </is>
      </c>
    </row>
    <row r="57">
      <c r="A57" s="35" t="n">
        <v>56</v>
      </c>
      <c r="B57" s="36" t="inlineStr">
        <is>
          <t>Less: Appropriations</t>
        </is>
      </c>
      <c r="C57" s="35" t="inlineStr"/>
      <c r="D57" s="37" t="inlineStr"/>
      <c r="E57" s="37" t="inlineStr"/>
      <c r="F57" s="35" t="n">
        <v>0</v>
      </c>
      <c r="G57" s="35" t="inlineStr"/>
      <c r="H57" s="35" t="inlineStr"/>
      <c r="I57" s="38" t="inlineStr">
        <is>
          <t>Less: Appropriations</t>
        </is>
      </c>
    </row>
    <row r="58">
      <c r="A58" s="35" t="n">
        <v>57</v>
      </c>
      <c r="B58" s="36" t="inlineStr">
        <is>
          <t>a) Dividend Paid Available Surplus in Statement of</t>
        </is>
      </c>
      <c r="C58" s="35" t="inlineStr"/>
      <c r="D58" s="37" t="inlineStr">
        <is>
          <t>(2,952.60)</t>
        </is>
      </c>
      <c r="E58" s="37" t="inlineStr">
        <is>
          <t>(3,247.87)</t>
        </is>
      </c>
      <c r="F58" s="35" t="n">
        <v>0</v>
      </c>
      <c r="G58" s="35" t="inlineStr"/>
      <c r="H58" s="35" t="inlineStr"/>
      <c r="I58" s="38" t="inlineStr">
        <is>
          <t>a) Dividend Paid (2,952.60) (3,247.87) | Available Surplus in Statement of</t>
        </is>
      </c>
    </row>
    <row r="59">
      <c r="A59" s="35" t="n">
        <v>58</v>
      </c>
      <c r="B59" s="36" t="inlineStr">
        <is>
          <t>Profit and Loss</t>
        </is>
      </c>
      <c r="C59" s="35" t="inlineStr"/>
      <c r="D59" s="37" t="inlineStr">
        <is>
          <t>602,163.30</t>
        </is>
      </c>
      <c r="E59" s="37" t="inlineStr">
        <is>
          <t>475,908.68</t>
        </is>
      </c>
      <c r="F59" s="35" t="n">
        <v>0</v>
      </c>
      <c r="G59" s="35" t="inlineStr"/>
      <c r="H59" s="35" t="inlineStr"/>
      <c r="I59" s="38" t="inlineStr">
        <is>
          <t>Profit and Loss 602,163.30 475,908.68</t>
        </is>
      </c>
    </row>
    <row r="60">
      <c r="A60" s="39" t="n">
        <v>59</v>
      </c>
      <c r="B60" s="40" t="inlineStr">
        <is>
          <t xml:space="preserve">  (D) FCTR</t>
        </is>
      </c>
      <c r="C60" s="39" t="inlineStr"/>
      <c r="D60" s="41" t="inlineStr"/>
      <c r="E60" s="41" t="inlineStr"/>
      <c r="F60" s="39" t="n">
        <v>1</v>
      </c>
      <c r="G60" s="39" t="inlineStr">
        <is>
          <t>Yes</t>
        </is>
      </c>
      <c r="H60" s="39" t="inlineStr"/>
      <c r="I60" s="42" t="inlineStr">
        <is>
          <t>(D) FCTR</t>
        </is>
      </c>
    </row>
    <row r="61">
      <c r="A61" s="35" t="n">
        <v>60</v>
      </c>
      <c r="B61" s="36" t="inlineStr">
        <is>
          <t>a) FCTR</t>
        </is>
      </c>
      <c r="C61" s="35" t="inlineStr"/>
      <c r="D61" s="37" t="inlineStr">
        <is>
          <t>70,895.72</t>
        </is>
      </c>
      <c r="E61" s="37" t="inlineStr">
        <is>
          <t>30,610.39</t>
        </is>
      </c>
      <c r="F61" s="35" t="n">
        <v>0</v>
      </c>
      <c r="G61" s="35" t="inlineStr"/>
      <c r="H61" s="35" t="inlineStr"/>
      <c r="I61" s="38" t="inlineStr">
        <is>
          <t>a) FCTR 70,895.72 30,610.39</t>
        </is>
      </c>
    </row>
    <row r="62">
      <c r="A62" s="44" t="n">
        <v>61</v>
      </c>
      <c r="B62" s="45" t="inlineStr">
        <is>
          <t>Total FCTR</t>
        </is>
      </c>
      <c r="C62" s="44" t="inlineStr"/>
      <c r="D62" s="46" t="inlineStr">
        <is>
          <t>70,895.72</t>
        </is>
      </c>
      <c r="E62" s="46" t="inlineStr">
        <is>
          <t>30,610.39</t>
        </is>
      </c>
      <c r="F62" s="44" t="n">
        <v>0</v>
      </c>
      <c r="G62" s="44" t="inlineStr"/>
      <c r="H62" s="44" t="inlineStr">
        <is>
          <t>Yes</t>
        </is>
      </c>
      <c r="I62" s="47" t="inlineStr">
        <is>
          <t>Total FCTR 70,895.72 30,610.39</t>
        </is>
      </c>
    </row>
    <row r="63">
      <c r="A63" s="35" t="n">
        <v>62</v>
      </c>
      <c r="B63" s="43" t="inlineStr">
        <is>
          <t xml:space="preserve">  (E) Total Other Equity</t>
        </is>
      </c>
      <c r="C63" s="35" t="inlineStr"/>
      <c r="D63" s="37" t="inlineStr">
        <is>
          <t>881,051.97</t>
        </is>
      </c>
      <c r="E63" s="37" t="inlineStr">
        <is>
          <t>714,512.02</t>
        </is>
      </c>
      <c r="F63" s="35" t="n">
        <v>1</v>
      </c>
      <c r="G63" s="35" t="inlineStr"/>
      <c r="H63" s="35" t="inlineStr"/>
      <c r="I63" s="38" t="inlineStr">
        <is>
          <t>(E) Total Other Equity 881,051.97 714,512.02</t>
        </is>
      </c>
    </row>
    <row r="64">
      <c r="A64" s="39" t="n">
        <v>63</v>
      </c>
      <c r="B64" s="40" t="inlineStr">
        <is>
          <t>12 OTHER FINANCIAL LIABILITIES</t>
        </is>
      </c>
      <c r="C64" s="39" t="inlineStr"/>
      <c r="D64" s="41" t="inlineStr"/>
      <c r="E64" s="41" t="inlineStr"/>
      <c r="F64" s="39" t="n">
        <v>0</v>
      </c>
      <c r="G64" s="39" t="inlineStr">
        <is>
          <t>Yes</t>
        </is>
      </c>
      <c r="H64" s="39" t="inlineStr"/>
      <c r="I64" s="42" t="inlineStr">
        <is>
          <t>12 OTHER FINANCIAL LIABILITIES</t>
        </is>
      </c>
    </row>
    <row r="65">
      <c r="A65" s="35" t="n">
        <v>64</v>
      </c>
      <c r="B65" s="43" t="inlineStr">
        <is>
          <t xml:space="preserve">  (i) Franchise Deposit Received</t>
        </is>
      </c>
      <c r="C65" s="35" t="inlineStr"/>
      <c r="D65" s="37" t="inlineStr">
        <is>
          <t>386.22</t>
        </is>
      </c>
      <c r="E65" s="37" t="inlineStr">
        <is>
          <t>430.77</t>
        </is>
      </c>
      <c r="F65" s="35" t="n">
        <v>1</v>
      </c>
      <c r="G65" s="35" t="inlineStr"/>
      <c r="H65" s="35" t="inlineStr"/>
      <c r="I65" s="38" t="inlineStr">
        <is>
          <t>(i) Franchise Deposit Received 386.22 430.77</t>
        </is>
      </c>
    </row>
    <row r="66">
      <c r="A66" s="35" t="n">
        <v>65</v>
      </c>
      <c r="B66" s="43" t="inlineStr">
        <is>
          <t xml:space="preserve">  (ii) Rent Advance</t>
        </is>
      </c>
      <c r="C66" s="35" t="inlineStr"/>
      <c r="D66" s="37" t="inlineStr">
        <is>
          <t>255.52</t>
        </is>
      </c>
      <c r="E66" s="37" t="inlineStr">
        <is>
          <t>214.23</t>
        </is>
      </c>
      <c r="F66" s="35" t="n">
        <v>1</v>
      </c>
      <c r="G66" s="35" t="inlineStr"/>
      <c r="H66" s="35" t="inlineStr"/>
      <c r="I66" s="38" t="inlineStr">
        <is>
          <t>(ii) Rent Advance 255.52 214.23</t>
        </is>
      </c>
    </row>
    <row r="67">
      <c r="A67" s="35" t="n">
        <v>66</v>
      </c>
      <c r="B67" s="43" t="inlineStr">
        <is>
          <t xml:space="preserve">  (iii) Other Long term liability</t>
        </is>
      </c>
      <c r="C67" s="35" t="inlineStr"/>
      <c r="D67" s="37" t="inlineStr"/>
      <c r="E67" s="37" t="inlineStr"/>
      <c r="F67" s="35" t="n">
        <v>1</v>
      </c>
      <c r="G67" s="35" t="inlineStr"/>
      <c r="H67" s="35" t="inlineStr"/>
      <c r="I67" s="38" t="inlineStr">
        <is>
          <t>(iii) Other Long term liability</t>
        </is>
      </c>
    </row>
    <row r="68">
      <c r="A68" s="35" t="n">
        <v>67</v>
      </c>
      <c r="B68" s="43" t="inlineStr">
        <is>
          <t xml:space="preserve">  (iv) Bank Debt</t>
        </is>
      </c>
      <c r="C68" s="35" t="inlineStr"/>
      <c r="D68" s="37" t="inlineStr">
        <is>
          <t>12,549.94</t>
        </is>
      </c>
      <c r="E68" s="37" t="inlineStr">
        <is>
          <t>24,417.29</t>
        </is>
      </c>
      <c r="F68" s="35" t="n">
        <v>1</v>
      </c>
      <c r="G68" s="35" t="inlineStr"/>
      <c r="H68" s="35" t="inlineStr"/>
      <c r="I68" s="38" t="inlineStr">
        <is>
          <t>(iv) Bank Debt 12,549.94 24,417.29</t>
        </is>
      </c>
    </row>
    <row r="69">
      <c r="A69" s="44" t="n">
        <v>68</v>
      </c>
      <c r="B69" s="45" t="inlineStr">
        <is>
          <t>Total Other Financial Liabilities</t>
        </is>
      </c>
      <c r="C69" s="44" t="inlineStr"/>
      <c r="D69" s="46" t="inlineStr">
        <is>
          <t>13,191.69</t>
        </is>
      </c>
      <c r="E69" s="46" t="inlineStr">
        <is>
          <t>25,062.30</t>
        </is>
      </c>
      <c r="F69" s="44" t="n">
        <v>0</v>
      </c>
      <c r="G69" s="44" t="inlineStr"/>
      <c r="H69" s="44" t="inlineStr">
        <is>
          <t>Yes</t>
        </is>
      </c>
      <c r="I69" s="47" t="inlineStr">
        <is>
          <t>Total Other Financial Liabilities 13,191.69 25,062.30</t>
        </is>
      </c>
    </row>
    <row r="70">
      <c r="A70" s="39" t="n">
        <v>69</v>
      </c>
      <c r="B70" s="40" t="inlineStr">
        <is>
          <t>13 DEFERRED TAX LIABILITIES (NET)</t>
        </is>
      </c>
      <c r="C70" s="39" t="inlineStr"/>
      <c r="D70" s="41" t="inlineStr"/>
      <c r="E70" s="41" t="inlineStr"/>
      <c r="F70" s="39" t="n">
        <v>0</v>
      </c>
      <c r="G70" s="39" t="inlineStr">
        <is>
          <t>Yes</t>
        </is>
      </c>
      <c r="H70" s="39" t="inlineStr"/>
      <c r="I70" s="42" t="inlineStr">
        <is>
          <t>13 DEFERRED TAX LIABILITIES (NET)</t>
        </is>
      </c>
    </row>
    <row r="71">
      <c r="A71" s="35" t="n">
        <v>70</v>
      </c>
      <c r="B71" s="36" t="inlineStr">
        <is>
          <t>Deferred Tax Liabilities</t>
        </is>
      </c>
      <c r="C71" s="35" t="inlineStr"/>
      <c r="D71" s="37" t="inlineStr">
        <is>
          <t>8,579.60</t>
        </is>
      </c>
      <c r="E71" s="37" t="inlineStr">
        <is>
          <t>7,871.63</t>
        </is>
      </c>
      <c r="F71" s="35" t="n">
        <v>0</v>
      </c>
      <c r="G71" s="35" t="inlineStr"/>
      <c r="H71" s="35" t="inlineStr"/>
      <c r="I71" s="38" t="inlineStr">
        <is>
          <t>Deferred Tax Liabilities 8,579.60 7,871.63</t>
        </is>
      </c>
    </row>
    <row r="72">
      <c r="A72" s="35" t="n">
        <v>71</v>
      </c>
      <c r="B72" s="36" t="inlineStr">
        <is>
          <t>Deferred Tax liabilities ( Net )</t>
        </is>
      </c>
      <c r="C72" s="35" t="inlineStr"/>
      <c r="D72" s="37" t="inlineStr">
        <is>
          <t>8,579.60</t>
        </is>
      </c>
      <c r="E72" s="37" t="inlineStr">
        <is>
          <t>7,871.63</t>
        </is>
      </c>
      <c r="F72" s="35" t="n">
        <v>0</v>
      </c>
      <c r="G72" s="35" t="inlineStr"/>
      <c r="H72" s="35" t="inlineStr"/>
      <c r="I72" s="38" t="inlineStr">
        <is>
          <t>Deferred Tax liabilities ( Net ) 8,579.60 7,871.63</t>
        </is>
      </c>
    </row>
    <row r="74">
      <c r="A74" s="48" t="inlineStr">
        <is>
          <t>Source Pages:</t>
        </is>
      </c>
      <c r="B74" s="49" t="inlineStr">
        <is>
          <t>52, 57, 107</t>
        </is>
      </c>
    </row>
    <row r="75">
      <c r="A75" s="48" t="inlineStr">
        <is>
          <t>Unit:</t>
        </is>
      </c>
      <c r="B75" s="49" t="inlineStr">
        <is>
          <t>₹ in Lakhs</t>
        </is>
      </c>
    </row>
  </sheetData>
  <autoFilter ref="A1:I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2019</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2019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29, 2019 Proprietor</t>
        </is>
      </c>
      <c r="C8" s="35" t="inlineStr"/>
      <c r="D8" s="37" t="inlineStr"/>
      <c r="E8" s="37" t="inlineStr"/>
      <c r="F8" s="35" t="n">
        <v>0</v>
      </c>
      <c r="G8" s="35" t="inlineStr"/>
      <c r="H8" s="35" t="inlineStr"/>
      <c r="I8" s="38" t="inlineStr">
        <is>
          <t>Sd/- | Date : May 29, 2019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RRAAJJEESSHH EEXXPPOORRTTSS LLIIMMIITTEEDD</t>
        </is>
      </c>
      <c r="C10" s="39" t="inlineStr"/>
      <c r="D10" s="41" t="inlineStr"/>
      <c r="E10" s="41" t="inlineStr"/>
      <c r="F10" s="39" t="n">
        <v>0</v>
      </c>
      <c r="G10" s="39" t="inlineStr">
        <is>
          <t>Yes</t>
        </is>
      </c>
      <c r="H10" s="39" t="inlineStr"/>
      <c r="I10" s="42" t="inlineStr">
        <is>
          <t>RRAAJJEESSHH EEXXPPOORRTTSS LLIIMMIITTEEDD</t>
        </is>
      </c>
    </row>
    <row r="11">
      <c r="A11" s="39" t="n">
        <v>10</v>
      </c>
      <c r="B11" s="40" t="inlineStr">
        <is>
          <t>STANDALONE CASH FLOW STATEMENT (Rs. in lakhs)</t>
        </is>
      </c>
      <c r="C11" s="39" t="inlineStr"/>
      <c r="D11" s="41" t="inlineStr"/>
      <c r="E11" s="41" t="inlineStr"/>
      <c r="F11" s="39" t="n">
        <v>0</v>
      </c>
      <c r="G11" s="39" t="inlineStr">
        <is>
          <t>Yes</t>
        </is>
      </c>
      <c r="H11" s="39" t="inlineStr"/>
      <c r="I11" s="42" t="inlineStr">
        <is>
          <t>STANDALONE CASH FLOW STATEMENT | (Rs. in lakhs)</t>
        </is>
      </c>
    </row>
    <row r="12">
      <c r="A12" s="39" t="n">
        <v>11</v>
      </c>
      <c r="B12" s="40" t="inlineStr">
        <is>
          <t>A CASH FLOW FROM OPERATING ACTIVITIES:</t>
        </is>
      </c>
      <c r="C12" s="39" t="inlineStr"/>
      <c r="D12" s="41" t="inlineStr"/>
      <c r="E12" s="41" t="inlineStr"/>
      <c r="F12" s="39" t="n">
        <v>0</v>
      </c>
      <c r="G12" s="39" t="inlineStr">
        <is>
          <t>Yes</t>
        </is>
      </c>
      <c r="H12" s="39" t="inlineStr"/>
      <c r="I12" s="42" t="inlineStr">
        <is>
          <t>A CASH FLOW FROM OPERATING ACTIVITIES:</t>
        </is>
      </c>
    </row>
    <row r="13">
      <c r="A13" s="35" t="n">
        <v>12</v>
      </c>
      <c r="B13" s="36" t="inlineStr">
        <is>
          <t>Profit before tax</t>
        </is>
      </c>
      <c r="C13" s="35" t="inlineStr"/>
      <c r="D13" s="37" t="inlineStr">
        <is>
          <t>46,557.50</t>
        </is>
      </c>
      <c r="E13" s="37" t="inlineStr">
        <is>
          <t>48,840.11</t>
        </is>
      </c>
      <c r="F13" s="35" t="n">
        <v>0</v>
      </c>
      <c r="G13" s="35" t="inlineStr"/>
      <c r="H13" s="35" t="inlineStr"/>
      <c r="I13" s="38" t="inlineStr">
        <is>
          <t>Profit before tax 46,557.50 48,840.11</t>
        </is>
      </c>
    </row>
    <row r="14">
      <c r="A14" s="35" t="n">
        <v>13</v>
      </c>
      <c r="B14" s="36" t="inlineStr">
        <is>
          <t>Adjustments for:</t>
        </is>
      </c>
      <c r="C14" s="35" t="inlineStr"/>
      <c r="D14" s="37" t="inlineStr"/>
      <c r="E14" s="37" t="inlineStr"/>
      <c r="F14" s="35" t="n">
        <v>0</v>
      </c>
      <c r="G14" s="35" t="inlineStr"/>
      <c r="H14" s="35" t="inlineStr"/>
      <c r="I14" s="38" t="inlineStr">
        <is>
          <t>Adjustments for:</t>
        </is>
      </c>
    </row>
    <row r="15">
      <c r="A15" s="35" t="n">
        <v>14</v>
      </c>
      <c r="B15" s="36" t="inlineStr">
        <is>
          <t>Depreciation and amortisation expenses</t>
        </is>
      </c>
      <c r="C15" s="35" t="inlineStr"/>
      <c r="D15" s="37" t="inlineStr">
        <is>
          <t>140.94</t>
        </is>
      </c>
      <c r="E15" s="37" t="inlineStr">
        <is>
          <t>149.19</t>
        </is>
      </c>
      <c r="F15" s="35" t="n">
        <v>0</v>
      </c>
      <c r="G15" s="35" t="inlineStr"/>
      <c r="H15" s="35" t="inlineStr"/>
      <c r="I15" s="38" t="inlineStr">
        <is>
          <t>Depreciation and amortisation expenses 140.94 149.19</t>
        </is>
      </c>
    </row>
    <row r="16">
      <c r="A16" s="35" t="n">
        <v>15</v>
      </c>
      <c r="B16" s="36" t="inlineStr">
        <is>
          <t>Net (gain) / loss on sale of investments</t>
        </is>
      </c>
      <c r="C16" s="35" t="inlineStr"/>
      <c r="D16" s="37" t="inlineStr">
        <is>
          <t>-</t>
        </is>
      </c>
      <c r="E16" s="37" t="inlineStr">
        <is>
          <t>-</t>
        </is>
      </c>
      <c r="F16" s="35" t="n">
        <v>0</v>
      </c>
      <c r="G16" s="35" t="inlineStr"/>
      <c r="H16" s="35" t="inlineStr"/>
      <c r="I16" s="38" t="inlineStr">
        <is>
          <t>Net (gain) / loss on sale of investments - -</t>
        </is>
      </c>
    </row>
    <row r="17">
      <c r="A17" s="35" t="n">
        <v>16</v>
      </c>
      <c r="B17" s="36" t="inlineStr">
        <is>
          <t>(Profit)/Loss on fixed assets sold, scrapped, etc. (net)</t>
        </is>
      </c>
      <c r="C17" s="35" t="inlineStr"/>
      <c r="D17" s="37" t="inlineStr">
        <is>
          <t>-</t>
        </is>
      </c>
      <c r="E17" s="37" t="inlineStr">
        <is>
          <t>-</t>
        </is>
      </c>
      <c r="F17" s="35" t="n">
        <v>0</v>
      </c>
      <c r="G17" s="35" t="inlineStr"/>
      <c r="H17" s="35" t="inlineStr"/>
      <c r="I17" s="38" t="inlineStr">
        <is>
          <t>(Profit)/Loss on fixed assets sold, scrapped, etc. (net) - -</t>
        </is>
      </c>
    </row>
    <row r="18">
      <c r="A18" s="35" t="n">
        <v>17</v>
      </c>
      <c r="B18" s="36" t="inlineStr">
        <is>
          <t>Interest income</t>
        </is>
      </c>
      <c r="C18" s="35" t="inlineStr"/>
      <c r="D18" s="37" t="inlineStr">
        <is>
          <t>-</t>
        </is>
      </c>
      <c r="E18" s="37" t="inlineStr">
        <is>
          <t>-</t>
        </is>
      </c>
      <c r="F18" s="35" t="n">
        <v>0</v>
      </c>
      <c r="G18" s="35" t="inlineStr"/>
      <c r="H18" s="35" t="inlineStr"/>
      <c r="I18" s="38" t="inlineStr">
        <is>
          <t>Interest income - -</t>
        </is>
      </c>
    </row>
    <row r="19">
      <c r="A19" s="35" t="n">
        <v>18</v>
      </c>
      <c r="B19" s="36" t="inlineStr">
        <is>
          <t>Actuarial loss/(gain) forming part of other comprehensive income</t>
        </is>
      </c>
      <c r="C19" s="35" t="inlineStr"/>
      <c r="D19" s="37" t="inlineStr">
        <is>
          <t>(5.43)</t>
        </is>
      </c>
      <c r="E19" s="37" t="inlineStr">
        <is>
          <t>-</t>
        </is>
      </c>
      <c r="F19" s="35" t="n">
        <v>0</v>
      </c>
      <c r="G19" s="35" t="inlineStr"/>
      <c r="H19" s="35" t="inlineStr"/>
      <c r="I19" s="38" t="inlineStr">
        <is>
          <t>Actuarial loss/(gain) forming part of other comprehensive income (5.43) -</t>
        </is>
      </c>
    </row>
    <row r="20">
      <c r="A20" s="35" t="n">
        <v>19</v>
      </c>
      <c r="B20" s="36" t="inlineStr">
        <is>
          <t>Bad debts/advances written off &amp; provision made</t>
        </is>
      </c>
      <c r="C20" s="35" t="inlineStr"/>
      <c r="D20" s="37" t="inlineStr">
        <is>
          <t>-</t>
        </is>
      </c>
      <c r="E20" s="37" t="inlineStr">
        <is>
          <t>-</t>
        </is>
      </c>
      <c r="F20" s="35" t="n">
        <v>0</v>
      </c>
      <c r="G20" s="35" t="inlineStr"/>
      <c r="H20" s="35" t="inlineStr"/>
      <c r="I20" s="38" t="inlineStr">
        <is>
          <t>Bad debts/advances written off &amp; provision made - -</t>
        </is>
      </c>
    </row>
    <row r="21">
      <c r="A21" s="35" t="n">
        <v>20</v>
      </c>
      <c r="B21" s="36" t="inlineStr">
        <is>
          <t>Interest expense</t>
        </is>
      </c>
      <c r="C21" s="35" t="inlineStr"/>
      <c r="D21" s="37" t="inlineStr">
        <is>
          <t>-</t>
        </is>
      </c>
      <c r="E21" s="37" t="inlineStr">
        <is>
          <t>-</t>
        </is>
      </c>
      <c r="F21" s="35" t="n">
        <v>0</v>
      </c>
      <c r="G21" s="35" t="inlineStr"/>
      <c r="H21" s="35" t="inlineStr"/>
      <c r="I21" s="38" t="inlineStr">
        <is>
          <t>Interest expense - -</t>
        </is>
      </c>
    </row>
    <row r="22">
      <c r="A22" s="35" t="n">
        <v>21</v>
      </c>
      <c r="B22" s="36" t="inlineStr">
        <is>
          <t>Finance cost</t>
        </is>
      </c>
      <c r="C22" s="35" t="inlineStr"/>
      <c r="D22" s="37" t="inlineStr">
        <is>
          <t>31,983.54</t>
        </is>
      </c>
      <c r="E22" s="37" t="inlineStr">
        <is>
          <t>43,083.39</t>
        </is>
      </c>
      <c r="F22" s="35" t="n">
        <v>0</v>
      </c>
      <c r="G22" s="35" t="inlineStr"/>
      <c r="H22" s="35" t="inlineStr"/>
      <c r="I22" s="38" t="inlineStr">
        <is>
          <t>Finance cost 31,983.54 43,083.39</t>
        </is>
      </c>
    </row>
    <row r="23">
      <c r="A23" s="35" t="n">
        <v>22</v>
      </c>
      <c r="B23" s="36" t="inlineStr">
        <is>
          <t>Rent received</t>
        </is>
      </c>
      <c r="C23" s="35" t="inlineStr"/>
      <c r="D23" s="37" t="inlineStr">
        <is>
          <t>(36.47)</t>
        </is>
      </c>
      <c r="E23" s="37" t="inlineStr">
        <is>
          <t>(9.23)</t>
        </is>
      </c>
      <c r="F23" s="35" t="n">
        <v>0</v>
      </c>
      <c r="G23" s="35" t="inlineStr"/>
      <c r="H23" s="35" t="inlineStr"/>
      <c r="I23" s="38" t="inlineStr">
        <is>
          <t>Rent received (36.47) (9.23)</t>
        </is>
      </c>
    </row>
    <row r="24">
      <c r="A24" s="35" t="n">
        <v>23</v>
      </c>
      <c r="B24" s="36" t="inlineStr">
        <is>
          <t>Profit on sale of Fixed assets</t>
        </is>
      </c>
      <c r="C24" s="35" t="inlineStr"/>
      <c r="D24" s="37" t="inlineStr">
        <is>
          <t>-</t>
        </is>
      </c>
      <c r="E24" s="37" t="inlineStr">
        <is>
          <t>-</t>
        </is>
      </c>
      <c r="F24" s="35" t="n">
        <v>0</v>
      </c>
      <c r="G24" s="35" t="inlineStr"/>
      <c r="H24" s="35" t="inlineStr"/>
      <c r="I24" s="38" t="inlineStr">
        <is>
          <t>Profit on sale of Fixed assets - -</t>
        </is>
      </c>
    </row>
    <row r="25">
      <c r="A25" s="35" t="n">
        <v>24</v>
      </c>
      <c r="B25" s="36" t="inlineStr">
        <is>
          <t>Cash Generated from operations before</t>
        </is>
      </c>
      <c r="C25" s="35" t="inlineStr"/>
      <c r="D25" s="37" t="inlineStr">
        <is>
          <t>32,082.58</t>
        </is>
      </c>
      <c r="E25" s="37" t="inlineStr">
        <is>
          <t>43,223.35</t>
        </is>
      </c>
      <c r="F25" s="35" t="n">
        <v>0</v>
      </c>
      <c r="G25" s="35" t="inlineStr"/>
      <c r="H25" s="35" t="inlineStr"/>
      <c r="I25" s="38" t="inlineStr">
        <is>
          <t>32,082.58 43,223.35 | Cash Generated from operations before</t>
        </is>
      </c>
    </row>
    <row r="26">
      <c r="A26" s="35" t="n">
        <v>25</v>
      </c>
      <c r="B26" s="36" t="inlineStr">
        <is>
          <t>working capital changes</t>
        </is>
      </c>
      <c r="C26" s="35" t="inlineStr"/>
      <c r="D26" s="37" t="inlineStr">
        <is>
          <t>78,640.08</t>
        </is>
      </c>
      <c r="E26" s="37" t="inlineStr">
        <is>
          <t>92,063.46</t>
        </is>
      </c>
      <c r="F26" s="35" t="n">
        <v>0</v>
      </c>
      <c r="G26" s="35" t="inlineStr"/>
      <c r="H26" s="35" t="inlineStr"/>
      <c r="I26" s="38" t="inlineStr">
        <is>
          <t>working capital changes 78,640.08 92,063.46</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(Increase)/Decrease in Inventories</t>
        </is>
      </c>
      <c r="C28" s="35" t="inlineStr"/>
      <c r="D28" s="37" t="inlineStr">
        <is>
          <t>42,585.83</t>
        </is>
      </c>
      <c r="E28" s="37" t="inlineStr">
        <is>
          <t>(51,911.70)</t>
        </is>
      </c>
      <c r="F28" s="35" t="n">
        <v>0</v>
      </c>
      <c r="G28" s="35" t="inlineStr"/>
      <c r="H28" s="35" t="inlineStr"/>
      <c r="I28" s="38" t="inlineStr">
        <is>
          <t>(Increase)/Decrease in Inventories 42,585.83 (51,911.70)</t>
        </is>
      </c>
    </row>
    <row r="29">
      <c r="A29" s="35" t="n">
        <v>28</v>
      </c>
      <c r="B29" s="36" t="inlineStr">
        <is>
          <t>Adjustments for Decrease/(increase) in Trade and</t>
        </is>
      </c>
      <c r="C29" s="35" t="inlineStr"/>
      <c r="D29" s="37" t="inlineStr">
        <is>
          <t>-</t>
        </is>
      </c>
      <c r="E29" s="37" t="inlineStr"/>
      <c r="F29" s="35" t="n">
        <v>0</v>
      </c>
      <c r="G29" s="35" t="inlineStr"/>
      <c r="H29" s="35" t="inlineStr"/>
      <c r="I29" s="38" t="inlineStr">
        <is>
          <t>Adjustments for Decrease/(increase) in Trade and -</t>
        </is>
      </c>
    </row>
    <row r="30">
      <c r="A30" s="35" t="n">
        <v>29</v>
      </c>
      <c r="B30" s="36" t="inlineStr">
        <is>
          <t>- other receivables including Loans &amp; Advances</t>
        </is>
      </c>
      <c r="C30" s="35" t="inlineStr"/>
      <c r="D30" s="37" t="inlineStr">
        <is>
          <t>(72,032.88)</t>
        </is>
      </c>
      <c r="E30" s="37" t="inlineStr">
        <is>
          <t>170,562.08</t>
        </is>
      </c>
      <c r="F30" s="35" t="n">
        <v>0</v>
      </c>
      <c r="G30" s="35" t="inlineStr"/>
      <c r="H30" s="35" t="inlineStr"/>
      <c r="I30" s="38" t="inlineStr">
        <is>
          <t>- other receivables including Loans &amp; Advances (72,032.88) 170,562.08</t>
        </is>
      </c>
    </row>
    <row r="31">
      <c r="A31" s="35" t="n">
        <v>30</v>
      </c>
      <c r="B31" s="36" t="inlineStr">
        <is>
          <t>Increase/(Decrease) in Current</t>
        </is>
      </c>
      <c r="C31" s="35" t="inlineStr"/>
      <c r="D31" s="37" t="inlineStr">
        <is>
          <t>-</t>
        </is>
      </c>
      <c r="E31" s="37" t="inlineStr"/>
      <c r="F31" s="35" t="n">
        <v>0</v>
      </c>
      <c r="G31" s="35" t="inlineStr"/>
      <c r="H31" s="35" t="inlineStr"/>
      <c r="I31" s="38" t="inlineStr">
        <is>
          <t>Increase/(Decrease) in Current -</t>
        </is>
      </c>
    </row>
    <row r="32">
      <c r="A32" s="35" t="n">
        <v>31</v>
      </c>
      <c r="B32" s="36" t="inlineStr">
        <is>
          <t>- Non Current Liabilities &amp; Provisions</t>
        </is>
      </c>
      <c r="C32" s="35" t="inlineStr"/>
      <c r="D32" s="37" t="inlineStr">
        <is>
          <t>332,699.14</t>
        </is>
      </c>
      <c r="E32" s="37" t="inlineStr">
        <is>
          <t>(488,516.53)</t>
        </is>
      </c>
      <c r="F32" s="35" t="n">
        <v>0</v>
      </c>
      <c r="G32" s="35" t="inlineStr"/>
      <c r="H32" s="35" t="inlineStr"/>
      <c r="I32" s="38" t="inlineStr">
        <is>
          <t>- Non Current Liabilities &amp; Provisions 332,699.14 (488,516.53)</t>
        </is>
      </c>
    </row>
    <row r="33">
      <c r="A33" s="35" t="n">
        <v>32</v>
      </c>
      <c r="B33" s="36" t="inlineStr">
        <is>
          <t>Cash generated from operations</t>
        </is>
      </c>
      <c r="C33" s="35" t="inlineStr"/>
      <c r="D33" s="37" t="inlineStr">
        <is>
          <t>381,892.17</t>
        </is>
      </c>
      <c r="E33" s="37" t="inlineStr">
        <is>
          <t>(277,802.70)</t>
        </is>
      </c>
      <c r="F33" s="35" t="n">
        <v>0</v>
      </c>
      <c r="G33" s="35" t="inlineStr"/>
      <c r="H33" s="35" t="inlineStr"/>
      <c r="I33" s="38" t="inlineStr">
        <is>
          <t>Cash generated from operations 381,892.17 (277,802.70)</t>
        </is>
      </c>
    </row>
    <row r="34">
      <c r="A34" s="35" t="n">
        <v>33</v>
      </c>
      <c r="B34" s="36" t="inlineStr">
        <is>
          <t>Taxes paid (net of refunds)</t>
        </is>
      </c>
      <c r="C34" s="35" t="inlineStr"/>
      <c r="D34" s="37" t="inlineStr">
        <is>
          <t>(9,070.76)</t>
        </is>
      </c>
      <c r="E34" s="37" t="inlineStr">
        <is>
          <t>(7,746.66)</t>
        </is>
      </c>
      <c r="F34" s="35" t="n">
        <v>0</v>
      </c>
      <c r="G34" s="35" t="inlineStr"/>
      <c r="H34" s="35" t="inlineStr"/>
      <c r="I34" s="38" t="inlineStr">
        <is>
          <t>Taxes paid (net of refunds) (9,070.76) (7,746.66)</t>
        </is>
      </c>
    </row>
    <row r="35">
      <c r="A35" s="35" t="n">
        <v>34</v>
      </c>
      <c r="B35" s="36" t="inlineStr">
        <is>
          <t>Net cash generated from operating activities - [A]</t>
        </is>
      </c>
      <c r="C35" s="35" t="inlineStr"/>
      <c r="D35" s="37" t="inlineStr">
        <is>
          <t>372,821.40</t>
        </is>
      </c>
      <c r="E35" s="37" t="inlineStr">
        <is>
          <t>(285,549.36)</t>
        </is>
      </c>
      <c r="F35" s="35" t="n">
        <v>0</v>
      </c>
      <c r="G35" s="35" t="inlineStr"/>
      <c r="H35" s="35" t="inlineStr"/>
      <c r="I35" s="38" t="inlineStr">
        <is>
          <t>Net cash generated from operating activities - [A] 372,821.40 (285,549.36)</t>
        </is>
      </c>
    </row>
    <row r="36">
      <c r="A36" s="39" t="n">
        <v>35</v>
      </c>
      <c r="B36" s="40" t="inlineStr">
        <is>
          <t>B CASH FLOW FROM INVESTING ACTIVITIES:</t>
        </is>
      </c>
      <c r="C36" s="39" t="inlineStr"/>
      <c r="D36" s="41" t="inlineStr"/>
      <c r="E36" s="41" t="inlineStr"/>
      <c r="F36" s="39" t="n">
        <v>0</v>
      </c>
      <c r="G36" s="39" t="inlineStr">
        <is>
          <t>Yes</t>
        </is>
      </c>
      <c r="H36" s="39" t="inlineStr"/>
      <c r="I36" s="42" t="inlineStr">
        <is>
          <t>B CASH FLOW FROM INVESTING ACTIVITIES:</t>
        </is>
      </c>
    </row>
    <row r="37">
      <c r="A37" s="35" t="n">
        <v>36</v>
      </c>
      <c r="B37" s="36" t="inlineStr">
        <is>
          <t>Purchase of Fixed Assets</t>
        </is>
      </c>
      <c r="C37" s="35" t="inlineStr"/>
      <c r="D37" s="37" t="inlineStr">
        <is>
          <t>(231.04)</t>
        </is>
      </c>
      <c r="E37" s="37" t="inlineStr">
        <is>
          <t>(98.02)</t>
        </is>
      </c>
      <c r="F37" s="35" t="n">
        <v>0</v>
      </c>
      <c r="G37" s="35" t="inlineStr"/>
      <c r="H37" s="35" t="inlineStr"/>
      <c r="I37" s="38" t="inlineStr">
        <is>
          <t>Purchase of Fixed Assets (231.04) (98.02)</t>
        </is>
      </c>
    </row>
    <row r="38">
      <c r="A38" s="35" t="n">
        <v>37</v>
      </c>
      <c r="B38" s="36" t="inlineStr">
        <is>
          <t>Sale proceeds of Fixed Assets( DECREASE IN FIXED ASSETS}</t>
        </is>
      </c>
      <c r="C38" s="35" t="inlineStr"/>
      <c r="D38" s="37" t="inlineStr">
        <is>
          <t>346.52</t>
        </is>
      </c>
      <c r="E38" s="37" t="inlineStr"/>
      <c r="F38" s="35" t="n">
        <v>0</v>
      </c>
      <c r="G38" s="35" t="inlineStr"/>
      <c r="H38" s="35" t="inlineStr"/>
      <c r="I38" s="38" t="inlineStr">
        <is>
          <t>Sale proceeds of Fixed Assets( DECREASE IN FIXED ASSETS} 346.52</t>
        </is>
      </c>
    </row>
    <row r="39">
      <c r="A39" s="35" t="n">
        <v>38</v>
      </c>
      <c r="B39" s="36" t="inlineStr">
        <is>
          <t>(Purchase)/ Sale proceeds of Investments</t>
        </is>
      </c>
      <c r="C39" s="35" t="inlineStr"/>
      <c r="D39" s="37" t="inlineStr">
        <is>
          <t>(1,379.70)</t>
        </is>
      </c>
      <c r="E39" s="37" t="inlineStr">
        <is>
          <t>1,198.13</t>
        </is>
      </c>
      <c r="F39" s="35" t="n">
        <v>0</v>
      </c>
      <c r="G39" s="35" t="inlineStr"/>
      <c r="H39" s="35" t="inlineStr"/>
      <c r="I39" s="38" t="inlineStr">
        <is>
          <t>(Purchase)/ Sale proceeds of Investments (1,379.70) 1,198.13</t>
        </is>
      </c>
    </row>
    <row r="40">
      <c r="A40" s="35" t="n">
        <v>39</v>
      </c>
      <c r="B40" s="36" t="inlineStr">
        <is>
          <t>Rent received</t>
        </is>
      </c>
      <c r="C40" s="35" t="inlineStr"/>
      <c r="D40" s="37" t="inlineStr">
        <is>
          <t>36.47</t>
        </is>
      </c>
      <c r="E40" s="37" t="inlineStr">
        <is>
          <t>9.23</t>
        </is>
      </c>
      <c r="F40" s="35" t="n">
        <v>0</v>
      </c>
      <c r="G40" s="35" t="inlineStr"/>
      <c r="H40" s="35" t="inlineStr"/>
      <c r="I40" s="38" t="inlineStr">
        <is>
          <t>Rent received 36.47 9.23</t>
        </is>
      </c>
    </row>
    <row r="41">
      <c r="A41" s="35" t="n">
        <v>40</v>
      </c>
      <c r="B41" s="36" t="inlineStr">
        <is>
          <t>Net cash generated/(used in) from investing activities-[B]</t>
        </is>
      </c>
      <c r="C41" s="35" t="inlineStr"/>
      <c r="D41" s="37" t="inlineStr">
        <is>
          <t>(1,227.75)</t>
        </is>
      </c>
      <c r="E41" s="37" t="inlineStr">
        <is>
          <t>1,109.34</t>
        </is>
      </c>
      <c r="F41" s="35" t="n">
        <v>0</v>
      </c>
      <c r="G41" s="35" t="inlineStr"/>
      <c r="H41" s="35" t="inlineStr"/>
      <c r="I41" s="38" t="inlineStr">
        <is>
          <t>Net cash generated/(used in) from investing activities-[B] (1,227.75) 1,109.34</t>
        </is>
      </c>
    </row>
    <row r="42">
      <c r="A42" s="39" t="n">
        <v>41</v>
      </c>
      <c r="B42" s="40" t="inlineStr">
        <is>
          <t>C CASH FLOW FROM FINANCING ACTIVITIES:</t>
        </is>
      </c>
      <c r="C42" s="39" t="inlineStr"/>
      <c r="D42" s="41" t="inlineStr"/>
      <c r="E42" s="41" t="inlineStr"/>
      <c r="F42" s="39" t="n">
        <v>0</v>
      </c>
      <c r="G42" s="39" t="inlineStr">
        <is>
          <t>Yes</t>
        </is>
      </c>
      <c r="H42" s="39" t="inlineStr"/>
      <c r="I42" s="42" t="inlineStr">
        <is>
          <t>C CASH FLOW FROM FINANCING ACTIVITIES:</t>
        </is>
      </c>
    </row>
    <row r="43">
      <c r="A43" s="35" t="n">
        <v>42</v>
      </c>
      <c r="B43" s="36" t="inlineStr">
        <is>
          <t>Increase/(Decrease) in Secured Loan</t>
        </is>
      </c>
      <c r="C43" s="35" t="inlineStr"/>
      <c r="D43" s="37" t="inlineStr">
        <is>
          <t>(252,018.48)</t>
        </is>
      </c>
      <c r="E43" s="37" t="inlineStr">
        <is>
          <t>316,278.61</t>
        </is>
      </c>
      <c r="F43" s="35" t="n">
        <v>0</v>
      </c>
      <c r="G43" s="35" t="inlineStr"/>
      <c r="H43" s="35" t="inlineStr"/>
      <c r="I43" s="38" t="inlineStr">
        <is>
          <t>Increase/(Decrease) in Secured Loan (252,018.48) 316,278.61</t>
        </is>
      </c>
    </row>
    <row r="44">
      <c r="A44" s="35" t="n">
        <v>43</v>
      </c>
      <c r="B44" s="36" t="inlineStr">
        <is>
          <t>Increase/(Decrease) in Unsecured Loan</t>
        </is>
      </c>
      <c r="C44" s="35" t="inlineStr"/>
      <c r="D44" s="37" t="inlineStr">
        <is>
          <t>(203.76)</t>
        </is>
      </c>
      <c r="E44" s="37" t="inlineStr">
        <is>
          <t>(317.03)</t>
        </is>
      </c>
      <c r="F44" s="35" t="n">
        <v>0</v>
      </c>
      <c r="G44" s="35" t="inlineStr"/>
      <c r="H44" s="35" t="inlineStr"/>
      <c r="I44" s="38" t="inlineStr">
        <is>
          <t>Increase/(Decrease) in Unsecured Loan (203.76) (317.03)</t>
        </is>
      </c>
    </row>
    <row r="45">
      <c r="A45" s="35" t="n">
        <v>44</v>
      </c>
      <c r="B45" s="36" t="inlineStr">
        <is>
          <t>Interest paid</t>
        </is>
      </c>
      <c r="C45" s="35" t="inlineStr"/>
      <c r="D45" s="37" t="inlineStr">
        <is>
          <t>(31,983.54)</t>
        </is>
      </c>
      <c r="E45" s="37" t="inlineStr">
        <is>
          <t>(43,083.39)</t>
        </is>
      </c>
      <c r="F45" s="35" t="n">
        <v>0</v>
      </c>
      <c r="G45" s="35" t="inlineStr"/>
      <c r="H45" s="35" t="inlineStr"/>
      <c r="I45" s="38" t="inlineStr">
        <is>
          <t>Interest paid (31,983.54) (43,083.39)</t>
        </is>
      </c>
    </row>
    <row r="46">
      <c r="A46" s="35" t="n">
        <v>45</v>
      </c>
      <c r="B46" s="36" t="inlineStr">
        <is>
          <t>Dividends paid</t>
        </is>
      </c>
      <c r="C46" s="35" t="inlineStr"/>
      <c r="D46" s="37" t="inlineStr">
        <is>
          <t>(2,952.60)</t>
        </is>
      </c>
      <c r="E46" s="37" t="inlineStr">
        <is>
          <t>(3,247.87)</t>
        </is>
      </c>
      <c r="F46" s="35" t="n">
        <v>0</v>
      </c>
      <c r="G46" s="35" t="inlineStr"/>
      <c r="H46" s="35" t="inlineStr"/>
      <c r="I46" s="38" t="inlineStr">
        <is>
          <t>Dividends paid (2,952.60) (3,247.87)</t>
        </is>
      </c>
    </row>
    <row r="47">
      <c r="A47" s="35" t="n">
        <v>46</v>
      </c>
      <c r="B47" s="36" t="inlineStr">
        <is>
          <t>Net cash used in financing activities - [C]</t>
        </is>
      </c>
      <c r="C47" s="35" t="inlineStr"/>
      <c r="D47" s="37" t="inlineStr">
        <is>
          <t>(287,158.38)</t>
        </is>
      </c>
      <c r="E47" s="37" t="inlineStr">
        <is>
          <t>269,630.32</t>
        </is>
      </c>
      <c r="F47" s="35" t="n">
        <v>0</v>
      </c>
      <c r="G47" s="35" t="inlineStr"/>
      <c r="H47" s="35" t="inlineStr"/>
      <c r="I47" s="38" t="inlineStr">
        <is>
          <t>Net cash used in financing activities - [C] (287,158.38) 269,630.32</t>
        </is>
      </c>
    </row>
    <row r="48">
      <c r="A48" s="35" t="n">
        <v>47</v>
      </c>
      <c r="B48" s="36" t="inlineStr">
        <is>
          <t>Net increase/(decrease) in cash</t>
        </is>
      </c>
      <c r="C48" s="35" t="inlineStr"/>
      <c r="D48" s="37" t="inlineStr"/>
      <c r="E48" s="37" t="inlineStr"/>
      <c r="F48" s="35" t="n">
        <v>0</v>
      </c>
      <c r="G48" s="35" t="inlineStr"/>
      <c r="H48" s="35" t="inlineStr"/>
      <c r="I48" s="38" t="inlineStr">
        <is>
          <t>Net increase/(decrease) in cash</t>
        </is>
      </c>
    </row>
    <row r="49">
      <c r="A49" s="35" t="n">
        <v>48</v>
      </c>
      <c r="B49" s="36" t="inlineStr">
        <is>
          <t>and cash equivalents - [A+B+C]</t>
        </is>
      </c>
      <c r="C49" s="35" t="inlineStr"/>
      <c r="D49" s="37" t="inlineStr">
        <is>
          <t>84,435.27</t>
        </is>
      </c>
      <c r="E49" s="37" t="inlineStr">
        <is>
          <t>(14,809.70)</t>
        </is>
      </c>
      <c r="F49" s="35" t="n">
        <v>0</v>
      </c>
      <c r="G49" s="35" t="inlineStr"/>
      <c r="H49" s="35" t="inlineStr"/>
      <c r="I49" s="38" t="inlineStr">
        <is>
          <t>and cash equivalents - [A+B+C] 84,435.27 (14,809.70)</t>
        </is>
      </c>
    </row>
    <row r="50">
      <c r="A50" s="35" t="n">
        <v>49</v>
      </c>
      <c r="B50" s="36" t="inlineStr">
        <is>
          <t>Cash and cash equivalents at the beginning of the year</t>
        </is>
      </c>
      <c r="C50" s="35" t="inlineStr"/>
      <c r="D50" s="37" t="inlineStr">
        <is>
          <t>1,362,599.26</t>
        </is>
      </c>
      <c r="E50" s="37" t="inlineStr">
        <is>
          <t>1,377,408.96</t>
        </is>
      </c>
      <c r="F50" s="35" t="n">
        <v>0</v>
      </c>
      <c r="G50" s="35" t="inlineStr"/>
      <c r="H50" s="35" t="inlineStr"/>
      <c r="I50" s="38" t="inlineStr">
        <is>
          <t>Cash and cash equivalents at the beginning of the year 1,362,599.26 1,377,408.96</t>
        </is>
      </c>
    </row>
    <row r="51">
      <c r="A51" s="35" t="n">
        <v>50</v>
      </c>
      <c r="B51" s="36" t="inlineStr">
        <is>
          <t>Cash and cash equivalents at the end of the year</t>
        </is>
      </c>
      <c r="C51" s="35" t="inlineStr"/>
      <c r="D51" s="37" t="inlineStr">
        <is>
          <t>1,447,034.53</t>
        </is>
      </c>
      <c r="E51" s="37" t="inlineStr">
        <is>
          <t>1,362,599.26</t>
        </is>
      </c>
      <c r="F51" s="35" t="n">
        <v>0</v>
      </c>
      <c r="G51" s="35" t="inlineStr"/>
      <c r="H51" s="35" t="inlineStr"/>
      <c r="I51" s="38" t="inlineStr">
        <is>
          <t>Cash and cash equivalents at the end of the year 1,447,034.53 1,362,599.26</t>
        </is>
      </c>
    </row>
    <row r="52">
      <c r="A52" s="35" t="n">
        <v>51</v>
      </c>
      <c r="B52" s="36" t="inlineStr">
        <is>
          <t>Cash and cash equivalents comprise of:</t>
        </is>
      </c>
      <c r="C52" s="35" t="inlineStr"/>
      <c r="D52" s="37" t="inlineStr"/>
      <c r="E52" s="37" t="inlineStr"/>
      <c r="F52" s="35" t="n">
        <v>0</v>
      </c>
      <c r="G52" s="35" t="inlineStr"/>
      <c r="H52" s="35" t="inlineStr"/>
      <c r="I52" s="38" t="inlineStr">
        <is>
          <t>Cash and cash equivalents comprise of:</t>
        </is>
      </c>
    </row>
    <row r="53">
      <c r="A53" s="35" t="n">
        <v>52</v>
      </c>
      <c r="B53" s="36" t="inlineStr">
        <is>
          <t>Cash on hand</t>
        </is>
      </c>
      <c r="C53" s="35" t="inlineStr"/>
      <c r="D53" s="37" t="inlineStr">
        <is>
          <t>12.71</t>
        </is>
      </c>
      <c r="E53" s="37" t="inlineStr">
        <is>
          <t>57.60</t>
        </is>
      </c>
      <c r="F53" s="35" t="n">
        <v>0</v>
      </c>
      <c r="G53" s="35" t="inlineStr"/>
      <c r="H53" s="35" t="inlineStr"/>
      <c r="I53" s="38" t="inlineStr">
        <is>
          <t>Cash on hand 12.71 57.60</t>
        </is>
      </c>
    </row>
    <row r="54">
      <c r="A54" s="35" t="n">
        <v>53</v>
      </c>
      <c r="B54" s="36" t="inlineStr">
        <is>
          <t>Balances with banks:</t>
        </is>
      </c>
      <c r="C54" s="35" t="inlineStr"/>
      <c r="D54" s="37" t="inlineStr"/>
      <c r="E54" s="37" t="inlineStr"/>
      <c r="F54" s="35" t="n">
        <v>0</v>
      </c>
      <c r="G54" s="35" t="inlineStr"/>
      <c r="H54" s="35" t="inlineStr"/>
      <c r="I54" s="38" t="inlineStr">
        <is>
          <t>Balances with banks:</t>
        </is>
      </c>
    </row>
    <row r="55">
      <c r="A55" s="35" t="n">
        <v>54</v>
      </c>
      <c r="B55" s="36" t="inlineStr">
        <is>
          <t>In current accounts</t>
        </is>
      </c>
      <c r="C55" s="35" t="inlineStr"/>
      <c r="D55" s="37" t="inlineStr">
        <is>
          <t>32.34</t>
        </is>
      </c>
      <c r="E55" s="37" t="inlineStr">
        <is>
          <t>318.81</t>
        </is>
      </c>
      <c r="F55" s="35" t="n">
        <v>0</v>
      </c>
      <c r="G55" s="35" t="inlineStr"/>
      <c r="H55" s="35" t="inlineStr"/>
      <c r="I55" s="38" t="inlineStr">
        <is>
          <t>In current accounts 32.34 318.81</t>
        </is>
      </c>
    </row>
    <row r="56">
      <c r="A56" s="35" t="n">
        <v>55</v>
      </c>
      <c r="B56" s="36" t="inlineStr">
        <is>
          <t>Earmarked Balances with banks</t>
        </is>
      </c>
      <c r="C56" s="35" t="inlineStr"/>
      <c r="D56" s="37" t="inlineStr">
        <is>
          <t>192.20</t>
        </is>
      </c>
      <c r="E56" s="37" t="inlineStr">
        <is>
          <t>55.17</t>
        </is>
      </c>
      <c r="F56" s="35" t="n">
        <v>0</v>
      </c>
      <c r="G56" s="35" t="inlineStr"/>
      <c r="H56" s="35" t="inlineStr"/>
      <c r="I56" s="38" t="inlineStr">
        <is>
          <t>Earmarked Balances with banks 192.20 55.17</t>
        </is>
      </c>
    </row>
    <row r="57">
      <c r="A57" s="35" t="n">
        <v>56</v>
      </c>
      <c r="B57" s="36" t="inlineStr">
        <is>
          <t>Term deposits with original maturity of</t>
        </is>
      </c>
      <c r="C57" s="35" t="inlineStr"/>
      <c r="D57" s="37" t="inlineStr"/>
      <c r="E57" s="37" t="inlineStr"/>
      <c r="F57" s="35" t="n">
        <v>0</v>
      </c>
      <c r="G57" s="35" t="inlineStr"/>
      <c r="H57" s="35" t="inlineStr"/>
      <c r="I57" s="38" t="inlineStr">
        <is>
          <t>Term deposits with original maturity of</t>
        </is>
      </c>
    </row>
    <row r="58">
      <c r="A58" s="35" t="n">
        <v>57</v>
      </c>
      <c r="B58" s="36" t="inlineStr">
        <is>
          <t>More than three months</t>
        </is>
      </c>
      <c r="C58" s="35" t="inlineStr"/>
      <c r="D58" s="37" t="inlineStr">
        <is>
          <t>1,446,797.29</t>
        </is>
      </c>
      <c r="E58" s="37" t="inlineStr">
        <is>
          <t>1,362,167.68</t>
        </is>
      </c>
      <c r="F58" s="35" t="n">
        <v>0</v>
      </c>
      <c r="G58" s="35" t="inlineStr"/>
      <c r="H58" s="35" t="inlineStr"/>
      <c r="I58" s="38" t="inlineStr">
        <is>
          <t>More than three months 1,446,797.29 1,362,167.68</t>
        </is>
      </c>
    </row>
    <row r="59">
      <c r="A59" s="35" t="n">
        <v>58</v>
      </c>
      <c r="B59" s="36" t="inlineStr">
        <is>
          <t>Notes: i) The above Cash Flow Statement has been prepared under the ‘Indirect Method’ as set out in the Ind AS 7 , “Cash Flow Statements” ii) Cash comprises cash on hand, Current Accounts and deposits with banks. Cash equivalents are short-term balances (with an original maturity of three months or less from the date of acquisition), highly liquid investments that are readily convertible into known amounts of cash and which are subject to insignificant risk of changes in value. For P V RAMANA REDDY &amp; CO</t>
        </is>
      </c>
      <c r="C59" s="35" t="inlineStr"/>
      <c r="D59" s="37" t="inlineStr"/>
      <c r="E59" s="37" t="inlineStr"/>
      <c r="F59" s="35" t="n">
        <v>0</v>
      </c>
      <c r="G59" s="35" t="inlineStr"/>
      <c r="H59" s="35" t="inlineStr"/>
      <c r="I59" s="38" t="inlineStr">
        <is>
          <t>Notes: | i) The above Cash Flow Statement has been prepared under the ‘Indirect Method’ as set out in the Ind AS 7 , “Cash Flow Statements”</t>
        </is>
      </c>
    </row>
    <row r="60">
      <c r="A60" s="35" t="n">
        <v>59</v>
      </c>
      <c r="B60" s="36" t="inlineStr">
        <is>
          <t>DIN : 00336457 DIN : 00336417 M.No. A50340</t>
        </is>
      </c>
      <c r="C60" s="35" t="inlineStr"/>
      <c r="D60" s="37" t="inlineStr"/>
      <c r="E60" s="37" t="inlineStr"/>
      <c r="F60" s="35" t="n">
        <v>0</v>
      </c>
      <c r="G60" s="35" t="inlineStr"/>
      <c r="H60" s="35" t="inlineStr"/>
      <c r="I60" s="38" t="inlineStr">
        <is>
          <t>DIN : 00336457 DIN : 00336417 M.No. A50340</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4">
      <c r="A64" s="48" t="inlineStr">
        <is>
          <t>Source Pages:</t>
        </is>
      </c>
      <c r="B64" s="49" t="inlineStr">
        <is>
          <t>52, 58</t>
        </is>
      </c>
    </row>
    <row r="65">
      <c r="A65" s="48" t="inlineStr">
        <is>
          <t>Unit:</t>
        </is>
      </c>
      <c r="B65" s="49" t="inlineStr">
        <is>
          <t>₹ in Lakhs</t>
        </is>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2026-06-29T14:33:45Z</dcterms:modified>
  <cp:lastModifiedBy>Srivastava, Akash</cp:lastModifiedBy>
</cp:coreProperties>
</file>